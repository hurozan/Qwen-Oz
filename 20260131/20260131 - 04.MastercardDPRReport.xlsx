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31\"/>
    </mc:Choice>
  </mc:AlternateContent>
  <bookViews>
    <workbookView xWindow="0" yWindow="0" windowWidth="28800" windowHeight="13665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1" l="1"/>
  <c r="I33" i="1"/>
</calcChain>
</file>

<file path=xl/sharedStrings.xml><?xml version="1.0" encoding="utf-8"?>
<sst xmlns="http://schemas.openxmlformats.org/spreadsheetml/2006/main" count="291" uniqueCount="43">
  <si>
    <t>Clearing System</t>
  </si>
  <si>
    <t>Recon Day</t>
  </si>
  <si>
    <t>Clearing Day</t>
  </si>
  <si>
    <t>DPR Load Day</t>
  </si>
  <si>
    <t>Settled File ID</t>
  </si>
  <si>
    <t>Transaction Type</t>
  </si>
  <si>
    <t>Processing Code</t>
  </si>
  <si>
    <t>Direction</t>
  </si>
  <si>
    <t>Count</t>
  </si>
  <si>
    <t>Net Recon Amount</t>
  </si>
  <si>
    <t>Net Recon Fee</t>
  </si>
  <si>
    <t>Recon Currency</t>
  </si>
  <si>
    <t>MIR</t>
  </si>
  <si>
    <t>20260131</t>
  </si>
  <si>
    <t>20260201</t>
  </si>
  <si>
    <t>1012601317039034010101001</t>
  </si>
  <si>
    <t>05/1 Originals-Purchase</t>
  </si>
  <si>
    <t>00</t>
  </si>
  <si>
    <t>Incoming</t>
  </si>
  <si>
    <t>643</t>
  </si>
  <si>
    <t>09</t>
  </si>
  <si>
    <t>06/1 Originals-Credit</t>
  </si>
  <si>
    <t>20</t>
  </si>
  <si>
    <t>22</t>
  </si>
  <si>
    <t>26</t>
  </si>
  <si>
    <t>27</t>
  </si>
  <si>
    <t>28</t>
  </si>
  <si>
    <t>07/1 Originals-ATM Cash</t>
  </si>
  <si>
    <t>01</t>
  </si>
  <si>
    <t>10/1 Fee-Credit</t>
  </si>
  <si>
    <t>19</t>
  </si>
  <si>
    <t>20/1 Fee-Debit</t>
  </si>
  <si>
    <t>29</t>
  </si>
  <si>
    <t>25/1 Reversals-Purchase</t>
  </si>
  <si>
    <t>1022601317039034010100001</t>
  </si>
  <si>
    <t>Outgoing</t>
  </si>
  <si>
    <t>26/1 Reversals-Credit</t>
  </si>
  <si>
    <t>1122601317039034010100001</t>
  </si>
  <si>
    <t>1222601317039034010101000</t>
  </si>
  <si>
    <t>MC NPSK</t>
  </si>
  <si>
    <t>0022601310000000917600002</t>
  </si>
  <si>
    <t>0212601310000000917601101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</si>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</sst>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3"/>
  <sheetViews>
    <sheetView tabSelected="1" workbookViewId="0">
      <selection sqref="A1:XFD1"/>
    </sheetView>
  </sheetViews>
  <sheetFormatPr defaultRowHeight="10.5" x14ac:dyDescent="0.15"/>
  <cols>
    <col min="1" max="1" width="14.28515625" style="3" bestFit="1" customWidth="1"/>
    <col min="2" max="2" width="9.5703125" style="3" bestFit="1" customWidth="1"/>
    <col min="3" max="3" width="20.28515625" style="3" bestFit="1" customWidth="1"/>
    <col min="4" max="4" width="12.140625" style="3" bestFit="1" customWidth="1"/>
    <col min="5" max="5" width="22.85546875" style="3" bestFit="1" customWidth="1"/>
    <col min="6" max="6" width="18.42578125" style="3" bestFit="1" customWidth="1"/>
    <col min="7" max="7" width="14.28515625" style="3" bestFit="1" customWidth="1"/>
    <col min="8" max="8" width="8.28515625" style="3" bestFit="1" customWidth="1"/>
    <col min="9" max="9" width="7.5703125" style="6" bestFit="1" customWidth="1"/>
    <col min="10" max="10" width="16.28515625" style="6" bestFit="1" customWidth="1"/>
    <col min="11" max="11" width="12.5703125" style="6" bestFit="1" customWidth="1"/>
    <col min="12" max="12" width="13.85546875" style="3" bestFit="1" customWidth="1"/>
    <col min="13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12</v>
      </c>
      <c r="B2" s="3" t="s">
        <v>13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6">
        <v>41821</v>
      </c>
      <c r="J2" s="6">
        <v>-50587594.18</v>
      </c>
      <c r="K2" s="6">
        <v>515692.27</v>
      </c>
      <c r="L2" s="3" t="s">
        <v>19</v>
      </c>
    </row>
    <row r="3" spans="1:68" x14ac:dyDescent="0.15">
      <c r="A3" s="3" t="s">
        <v>12</v>
      </c>
      <c r="B3" s="3" t="s">
        <v>13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20</v>
      </c>
      <c r="H3" s="3" t="s">
        <v>18</v>
      </c>
      <c r="I3" s="6">
        <v>42</v>
      </c>
      <c r="J3" s="6">
        <v>-170770.93</v>
      </c>
      <c r="K3" s="6">
        <v>-713.68</v>
      </c>
      <c r="L3" s="3" t="s">
        <v>19</v>
      </c>
    </row>
    <row r="4" spans="1:68" x14ac:dyDescent="0.15">
      <c r="A4" s="3" t="s">
        <v>12</v>
      </c>
      <c r="B4" s="3" t="s">
        <v>13</v>
      </c>
      <c r="C4" s="3" t="s">
        <v>13</v>
      </c>
      <c r="D4" s="3" t="s">
        <v>14</v>
      </c>
      <c r="E4" s="3" t="s">
        <v>15</v>
      </c>
      <c r="F4" s="3" t="s">
        <v>21</v>
      </c>
      <c r="G4" s="3" t="s">
        <v>22</v>
      </c>
      <c r="H4" s="3" t="s">
        <v>18</v>
      </c>
      <c r="I4" s="6">
        <v>276</v>
      </c>
      <c r="J4" s="6">
        <v>2332753.79</v>
      </c>
      <c r="K4" s="6">
        <v>-17523.29</v>
      </c>
      <c r="L4" s="3" t="s">
        <v>19</v>
      </c>
    </row>
    <row r="5" spans="1:68" x14ac:dyDescent="0.15">
      <c r="A5" s="3" t="s">
        <v>12</v>
      </c>
      <c r="B5" s="3" t="s">
        <v>13</v>
      </c>
      <c r="C5" s="3" t="s">
        <v>13</v>
      </c>
      <c r="D5" s="3" t="s">
        <v>14</v>
      </c>
      <c r="E5" s="3" t="s">
        <v>15</v>
      </c>
      <c r="F5" s="3" t="s">
        <v>21</v>
      </c>
      <c r="G5" s="3" t="s">
        <v>23</v>
      </c>
      <c r="H5" s="3" t="s">
        <v>18</v>
      </c>
      <c r="I5" s="6">
        <v>4</v>
      </c>
      <c r="J5" s="6">
        <v>19903.96</v>
      </c>
      <c r="K5" s="6">
        <v>0</v>
      </c>
      <c r="L5" s="3" t="s">
        <v>19</v>
      </c>
    </row>
    <row r="6" spans="1:68" x14ac:dyDescent="0.15">
      <c r="A6" s="3" t="s">
        <v>12</v>
      </c>
      <c r="B6" s="3" t="s">
        <v>13</v>
      </c>
      <c r="C6" s="3" t="s">
        <v>13</v>
      </c>
      <c r="D6" s="3" t="s">
        <v>14</v>
      </c>
      <c r="E6" s="3" t="s">
        <v>15</v>
      </c>
      <c r="F6" s="3" t="s">
        <v>21</v>
      </c>
      <c r="G6" s="3" t="s">
        <v>24</v>
      </c>
      <c r="H6" s="3" t="s">
        <v>18</v>
      </c>
      <c r="I6" s="6">
        <v>568</v>
      </c>
      <c r="J6" s="6">
        <v>6004670</v>
      </c>
      <c r="K6" s="6">
        <v>-48037.36</v>
      </c>
      <c r="L6" s="3" t="s">
        <v>19</v>
      </c>
    </row>
    <row r="7" spans="1:68" x14ac:dyDescent="0.15">
      <c r="A7" s="3" t="s">
        <v>12</v>
      </c>
      <c r="B7" s="3" t="s">
        <v>13</v>
      </c>
      <c r="C7" s="3" t="s">
        <v>13</v>
      </c>
      <c r="D7" s="3" t="s">
        <v>14</v>
      </c>
      <c r="E7" s="3" t="s">
        <v>15</v>
      </c>
      <c r="F7" s="3" t="s">
        <v>21</v>
      </c>
      <c r="G7" s="3" t="s">
        <v>25</v>
      </c>
      <c r="H7" s="3" t="s">
        <v>18</v>
      </c>
      <c r="I7" s="6">
        <v>2</v>
      </c>
      <c r="J7" s="6">
        <v>28000</v>
      </c>
      <c r="K7" s="6">
        <v>-224</v>
      </c>
      <c r="L7" s="3" t="s">
        <v>19</v>
      </c>
    </row>
    <row r="8" spans="1:68" x14ac:dyDescent="0.15">
      <c r="A8" s="3" t="s">
        <v>12</v>
      </c>
      <c r="B8" s="3" t="s">
        <v>13</v>
      </c>
      <c r="C8" s="3" t="s">
        <v>13</v>
      </c>
      <c r="D8" s="3" t="s">
        <v>14</v>
      </c>
      <c r="E8" s="3" t="s">
        <v>15</v>
      </c>
      <c r="F8" s="3" t="s">
        <v>21</v>
      </c>
      <c r="G8" s="3" t="s">
        <v>26</v>
      </c>
      <c r="H8" s="3" t="s">
        <v>18</v>
      </c>
      <c r="I8" s="6">
        <v>699</v>
      </c>
      <c r="J8" s="6">
        <v>4620211.46</v>
      </c>
      <c r="K8" s="6">
        <v>2319.02</v>
      </c>
      <c r="L8" s="3" t="s">
        <v>19</v>
      </c>
    </row>
    <row r="9" spans="1:68" x14ac:dyDescent="0.15">
      <c r="A9" s="3" t="s">
        <v>12</v>
      </c>
      <c r="B9" s="3" t="s">
        <v>13</v>
      </c>
      <c r="C9" s="3" t="s">
        <v>13</v>
      </c>
      <c r="D9" s="3" t="s">
        <v>14</v>
      </c>
      <c r="E9" s="3" t="s">
        <v>15</v>
      </c>
      <c r="F9" s="3" t="s">
        <v>27</v>
      </c>
      <c r="G9" s="3" t="s">
        <v>28</v>
      </c>
      <c r="H9" s="3" t="s">
        <v>18</v>
      </c>
      <c r="I9" s="6">
        <v>492</v>
      </c>
      <c r="J9" s="6">
        <v>-6190967.9699999997</v>
      </c>
      <c r="K9" s="6">
        <v>-27890.53</v>
      </c>
      <c r="L9" s="3" t="s">
        <v>19</v>
      </c>
    </row>
    <row r="10" spans="1:68" x14ac:dyDescent="0.15">
      <c r="A10" s="3" t="s">
        <v>12</v>
      </c>
      <c r="B10" s="3" t="s">
        <v>13</v>
      </c>
      <c r="C10" s="3" t="s">
        <v>13</v>
      </c>
      <c r="D10" s="3" t="s">
        <v>14</v>
      </c>
      <c r="E10" s="3" t="s">
        <v>15</v>
      </c>
      <c r="F10" s="3" t="s">
        <v>29</v>
      </c>
      <c r="G10" s="3" t="s">
        <v>30</v>
      </c>
      <c r="H10" s="3" t="s">
        <v>18</v>
      </c>
      <c r="I10" s="6">
        <v>126</v>
      </c>
      <c r="J10" s="6">
        <v>-440</v>
      </c>
      <c r="K10" s="6">
        <v>0</v>
      </c>
      <c r="L10" s="3" t="s">
        <v>19</v>
      </c>
    </row>
    <row r="11" spans="1:68" x14ac:dyDescent="0.15">
      <c r="A11" s="3" t="s">
        <v>12</v>
      </c>
      <c r="B11" s="3" t="s">
        <v>13</v>
      </c>
      <c r="C11" s="3" t="s">
        <v>13</v>
      </c>
      <c r="D11" s="3" t="s">
        <v>14</v>
      </c>
      <c r="E11" s="3" t="s">
        <v>15</v>
      </c>
      <c r="F11" s="3" t="s">
        <v>31</v>
      </c>
      <c r="G11" s="3" t="s">
        <v>32</v>
      </c>
      <c r="H11" s="3" t="s">
        <v>18</v>
      </c>
      <c r="I11" s="6">
        <v>22</v>
      </c>
      <c r="J11" s="6">
        <v>88</v>
      </c>
      <c r="K11" s="6">
        <v>0</v>
      </c>
      <c r="L11" s="3" t="s">
        <v>19</v>
      </c>
    </row>
    <row r="12" spans="1:68" x14ac:dyDescent="0.15">
      <c r="A12" s="3" t="s">
        <v>12</v>
      </c>
      <c r="B12" s="3" t="s">
        <v>13</v>
      </c>
      <c r="C12" s="3" t="s">
        <v>13</v>
      </c>
      <c r="D12" s="3" t="s">
        <v>14</v>
      </c>
      <c r="E12" s="3" t="s">
        <v>15</v>
      </c>
      <c r="F12" s="3" t="s">
        <v>33</v>
      </c>
      <c r="G12" s="3" t="s">
        <v>17</v>
      </c>
      <c r="H12" s="3" t="s">
        <v>18</v>
      </c>
      <c r="I12" s="6">
        <v>1</v>
      </c>
      <c r="J12" s="6">
        <v>300</v>
      </c>
      <c r="K12" s="6">
        <v>-6</v>
      </c>
      <c r="L12" s="3" t="s">
        <v>19</v>
      </c>
    </row>
    <row r="13" spans="1:68" x14ac:dyDescent="0.15">
      <c r="A13" s="3" t="s">
        <v>12</v>
      </c>
      <c r="B13" s="3" t="s">
        <v>13</v>
      </c>
      <c r="C13" s="3" t="s">
        <v>13</v>
      </c>
      <c r="D13" s="3" t="s">
        <v>14</v>
      </c>
      <c r="E13" s="3" t="s">
        <v>34</v>
      </c>
      <c r="F13" s="3" t="s">
        <v>16</v>
      </c>
      <c r="G13" s="3" t="s">
        <v>17</v>
      </c>
      <c r="H13" s="3" t="s">
        <v>35</v>
      </c>
      <c r="I13" s="6">
        <v>85211</v>
      </c>
      <c r="J13" s="6">
        <v>402294304.29000002</v>
      </c>
      <c r="K13" s="6">
        <v>-3830395.46</v>
      </c>
      <c r="L13" s="3" t="s">
        <v>19</v>
      </c>
    </row>
    <row r="14" spans="1:68" x14ac:dyDescent="0.15">
      <c r="A14" s="3" t="s">
        <v>12</v>
      </c>
      <c r="B14" s="3" t="s">
        <v>13</v>
      </c>
      <c r="C14" s="3" t="s">
        <v>13</v>
      </c>
      <c r="D14" s="3" t="s">
        <v>14</v>
      </c>
      <c r="E14" s="3" t="s">
        <v>34</v>
      </c>
      <c r="F14" s="3" t="s">
        <v>21</v>
      </c>
      <c r="G14" s="3" t="s">
        <v>22</v>
      </c>
      <c r="H14" s="3" t="s">
        <v>35</v>
      </c>
      <c r="I14" s="6">
        <v>843</v>
      </c>
      <c r="J14" s="6">
        <v>-5013297.68</v>
      </c>
      <c r="K14" s="6">
        <v>72720.149999999994</v>
      </c>
      <c r="L14" s="3" t="s">
        <v>19</v>
      </c>
    </row>
    <row r="15" spans="1:68" x14ac:dyDescent="0.15">
      <c r="A15" s="3" t="s">
        <v>12</v>
      </c>
      <c r="B15" s="3" t="s">
        <v>13</v>
      </c>
      <c r="C15" s="3" t="s">
        <v>13</v>
      </c>
      <c r="D15" s="3" t="s">
        <v>14</v>
      </c>
      <c r="E15" s="3" t="s">
        <v>34</v>
      </c>
      <c r="F15" s="3" t="s">
        <v>27</v>
      </c>
      <c r="G15" s="3" t="s">
        <v>28</v>
      </c>
      <c r="H15" s="3" t="s">
        <v>35</v>
      </c>
      <c r="I15" s="6">
        <v>44</v>
      </c>
      <c r="J15" s="6">
        <v>293800</v>
      </c>
      <c r="K15" s="6">
        <v>1322.1</v>
      </c>
      <c r="L15" s="3" t="s">
        <v>19</v>
      </c>
    </row>
    <row r="16" spans="1:68" x14ac:dyDescent="0.15">
      <c r="A16" s="3" t="s">
        <v>12</v>
      </c>
      <c r="B16" s="3" t="s">
        <v>13</v>
      </c>
      <c r="C16" s="3" t="s">
        <v>13</v>
      </c>
      <c r="D16" s="3" t="s">
        <v>14</v>
      </c>
      <c r="E16" s="3" t="s">
        <v>34</v>
      </c>
      <c r="F16" s="3" t="s">
        <v>36</v>
      </c>
      <c r="G16" s="3" t="s">
        <v>22</v>
      </c>
      <c r="H16" s="3" t="s">
        <v>35</v>
      </c>
      <c r="I16" s="6">
        <v>1</v>
      </c>
      <c r="J16" s="6">
        <v>1598</v>
      </c>
      <c r="K16" s="6">
        <v>-7.99</v>
      </c>
      <c r="L16" s="3" t="s">
        <v>19</v>
      </c>
    </row>
    <row r="17" spans="1:12" x14ac:dyDescent="0.15">
      <c r="A17" s="3" t="s">
        <v>12</v>
      </c>
      <c r="B17" s="3" t="s">
        <v>13</v>
      </c>
      <c r="C17" s="3" t="s">
        <v>13</v>
      </c>
      <c r="D17" s="3" t="s">
        <v>14</v>
      </c>
      <c r="E17" s="3" t="s">
        <v>37</v>
      </c>
      <c r="F17" s="3" t="s">
        <v>21</v>
      </c>
      <c r="G17" s="3" t="s">
        <v>26</v>
      </c>
      <c r="H17" s="3" t="s">
        <v>35</v>
      </c>
      <c r="I17" s="6">
        <v>108</v>
      </c>
      <c r="J17" s="6">
        <v>-1295552.28</v>
      </c>
      <c r="K17" s="6">
        <v>-647.80999999999995</v>
      </c>
      <c r="L17" s="3" t="s">
        <v>19</v>
      </c>
    </row>
    <row r="18" spans="1:12" x14ac:dyDescent="0.15">
      <c r="A18" s="3" t="s">
        <v>12</v>
      </c>
      <c r="B18" s="3" t="s">
        <v>13</v>
      </c>
      <c r="C18" s="3" t="s">
        <v>13</v>
      </c>
      <c r="D18" s="3" t="s">
        <v>14</v>
      </c>
      <c r="E18" s="3" t="s">
        <v>38</v>
      </c>
      <c r="F18" s="3" t="s">
        <v>16</v>
      </c>
      <c r="G18" s="3" t="s">
        <v>17</v>
      </c>
      <c r="H18" s="3" t="s">
        <v>35</v>
      </c>
      <c r="I18" s="6">
        <v>251</v>
      </c>
      <c r="J18" s="6">
        <v>0</v>
      </c>
      <c r="K18" s="6">
        <v>0</v>
      </c>
      <c r="L18" s="3" t="s">
        <v>19</v>
      </c>
    </row>
    <row r="19" spans="1:12" x14ac:dyDescent="0.15">
      <c r="A19" s="3" t="s">
        <v>12</v>
      </c>
      <c r="B19" s="3" t="s">
        <v>13</v>
      </c>
      <c r="C19" s="3" t="s">
        <v>13</v>
      </c>
      <c r="D19" s="3" t="s">
        <v>14</v>
      </c>
      <c r="E19" s="3" t="s">
        <v>38</v>
      </c>
      <c r="F19" s="3" t="s">
        <v>21</v>
      </c>
      <c r="G19" s="3" t="s">
        <v>22</v>
      </c>
      <c r="H19" s="3" t="s">
        <v>35</v>
      </c>
      <c r="I19" s="6">
        <v>3</v>
      </c>
      <c r="J19" s="6">
        <v>0</v>
      </c>
      <c r="K19" s="6">
        <v>0</v>
      </c>
      <c r="L19" s="3" t="s">
        <v>19</v>
      </c>
    </row>
    <row r="20" spans="1:12" x14ac:dyDescent="0.15">
      <c r="A20" s="3" t="s">
        <v>12</v>
      </c>
      <c r="B20" s="3" t="s">
        <v>13</v>
      </c>
      <c r="C20" s="3" t="s">
        <v>13</v>
      </c>
      <c r="D20" s="3" t="s">
        <v>14</v>
      </c>
      <c r="E20" s="3" t="s">
        <v>38</v>
      </c>
      <c r="F20" s="3" t="s">
        <v>21</v>
      </c>
      <c r="G20" s="3" t="s">
        <v>24</v>
      </c>
      <c r="H20" s="3" t="s">
        <v>35</v>
      </c>
      <c r="I20" s="6">
        <v>237</v>
      </c>
      <c r="J20" s="6">
        <v>0</v>
      </c>
      <c r="K20" s="6">
        <v>0</v>
      </c>
      <c r="L20" s="3" t="s">
        <v>19</v>
      </c>
    </row>
    <row r="21" spans="1:12" x14ac:dyDescent="0.15">
      <c r="A21" s="3" t="s">
        <v>12</v>
      </c>
      <c r="B21" s="3" t="s">
        <v>13</v>
      </c>
      <c r="C21" s="3" t="s">
        <v>13</v>
      </c>
      <c r="D21" s="3" t="s">
        <v>14</v>
      </c>
      <c r="E21" s="3" t="s">
        <v>38</v>
      </c>
      <c r="F21" s="3" t="s">
        <v>21</v>
      </c>
      <c r="G21" s="3" t="s">
        <v>26</v>
      </c>
      <c r="H21" s="3" t="s">
        <v>35</v>
      </c>
      <c r="I21" s="6">
        <v>44</v>
      </c>
      <c r="J21" s="6">
        <v>0</v>
      </c>
      <c r="K21" s="6">
        <v>0</v>
      </c>
      <c r="L21" s="3" t="s">
        <v>19</v>
      </c>
    </row>
    <row r="22" spans="1:12" x14ac:dyDescent="0.15">
      <c r="A22" s="3" t="s">
        <v>12</v>
      </c>
      <c r="B22" s="3" t="s">
        <v>13</v>
      </c>
      <c r="C22" s="3" t="s">
        <v>13</v>
      </c>
      <c r="D22" s="3" t="s">
        <v>14</v>
      </c>
      <c r="E22" s="3" t="s">
        <v>38</v>
      </c>
      <c r="F22" s="3" t="s">
        <v>27</v>
      </c>
      <c r="G22" s="3" t="s">
        <v>28</v>
      </c>
      <c r="H22" s="3" t="s">
        <v>35</v>
      </c>
      <c r="I22" s="6">
        <v>119</v>
      </c>
      <c r="J22" s="6">
        <v>0</v>
      </c>
      <c r="K22" s="6">
        <v>0</v>
      </c>
      <c r="L22" s="3" t="s">
        <v>19</v>
      </c>
    </row>
    <row r="23" spans="1:12" x14ac:dyDescent="0.15">
      <c r="A23" s="3" t="s">
        <v>39</v>
      </c>
      <c r="B23" s="3" t="s">
        <v>13</v>
      </c>
      <c r="C23" s="3" t="s">
        <v>13</v>
      </c>
      <c r="D23" s="3" t="s">
        <v>14</v>
      </c>
      <c r="E23" s="3" t="s">
        <v>40</v>
      </c>
      <c r="F23" s="3" t="s">
        <v>16</v>
      </c>
      <c r="G23" s="3" t="s">
        <v>17</v>
      </c>
      <c r="H23" s="3" t="s">
        <v>35</v>
      </c>
      <c r="I23" s="6">
        <v>10865</v>
      </c>
      <c r="J23" s="6">
        <v>58530089.82</v>
      </c>
      <c r="K23" s="6">
        <v>-480327.67999999999</v>
      </c>
      <c r="L23" s="3" t="s">
        <v>19</v>
      </c>
    </row>
    <row r="24" spans="1:12" x14ac:dyDescent="0.15">
      <c r="A24" s="3" t="s">
        <v>39</v>
      </c>
      <c r="B24" s="3" t="s">
        <v>13</v>
      </c>
      <c r="C24" s="3" t="s">
        <v>13</v>
      </c>
      <c r="D24" s="3" t="s">
        <v>14</v>
      </c>
      <c r="E24" s="3" t="s">
        <v>40</v>
      </c>
      <c r="F24" s="3" t="s">
        <v>21</v>
      </c>
      <c r="G24" s="3" t="s">
        <v>22</v>
      </c>
      <c r="H24" s="3" t="s">
        <v>35</v>
      </c>
      <c r="I24" s="6">
        <v>110</v>
      </c>
      <c r="J24" s="6">
        <v>-1071225.07</v>
      </c>
      <c r="K24" s="6">
        <v>778.17</v>
      </c>
      <c r="L24" s="3" t="s">
        <v>19</v>
      </c>
    </row>
    <row r="25" spans="1:12" x14ac:dyDescent="0.15">
      <c r="A25" s="3" t="s">
        <v>39</v>
      </c>
      <c r="B25" s="3" t="s">
        <v>13</v>
      </c>
      <c r="C25" s="3" t="s">
        <v>13</v>
      </c>
      <c r="D25" s="3" t="s">
        <v>14</v>
      </c>
      <c r="E25" s="3" t="s">
        <v>40</v>
      </c>
      <c r="F25" s="3" t="s">
        <v>21</v>
      </c>
      <c r="G25" s="3" t="s">
        <v>26</v>
      </c>
      <c r="H25" s="3" t="s">
        <v>35</v>
      </c>
      <c r="I25" s="6">
        <v>16</v>
      </c>
      <c r="J25" s="6">
        <v>-191034</v>
      </c>
      <c r="K25" s="6">
        <v>0</v>
      </c>
      <c r="L25" s="3" t="s">
        <v>19</v>
      </c>
    </row>
    <row r="26" spans="1:12" x14ac:dyDescent="0.15">
      <c r="A26" s="3" t="s">
        <v>39</v>
      </c>
      <c r="B26" s="3" t="s">
        <v>13</v>
      </c>
      <c r="C26" s="3" t="s">
        <v>13</v>
      </c>
      <c r="D26" s="3" t="s">
        <v>14</v>
      </c>
      <c r="E26" s="3" t="s">
        <v>40</v>
      </c>
      <c r="F26" s="3" t="s">
        <v>27</v>
      </c>
      <c r="G26" s="3" t="s">
        <v>28</v>
      </c>
      <c r="H26" s="3" t="s">
        <v>35</v>
      </c>
      <c r="I26" s="6">
        <v>7</v>
      </c>
      <c r="J26" s="6">
        <v>49000</v>
      </c>
      <c r="K26" s="6">
        <v>220.5</v>
      </c>
      <c r="L26" s="3" t="s">
        <v>19</v>
      </c>
    </row>
    <row r="27" spans="1:12" x14ac:dyDescent="0.15">
      <c r="A27" s="3" t="s">
        <v>39</v>
      </c>
      <c r="B27" s="3" t="s">
        <v>13</v>
      </c>
      <c r="C27" s="3" t="s">
        <v>13</v>
      </c>
      <c r="D27" s="3" t="s">
        <v>14</v>
      </c>
      <c r="E27" s="3" t="s">
        <v>41</v>
      </c>
      <c r="F27" s="3" t="s">
        <v>16</v>
      </c>
      <c r="G27" s="3" t="s">
        <v>17</v>
      </c>
      <c r="H27" s="3" t="s">
        <v>18</v>
      </c>
      <c r="I27" s="6">
        <v>19402</v>
      </c>
      <c r="J27" s="6">
        <v>-29386494.41</v>
      </c>
      <c r="K27" s="6">
        <v>405077.81</v>
      </c>
      <c r="L27" s="3" t="s">
        <v>19</v>
      </c>
    </row>
    <row r="28" spans="1:12" x14ac:dyDescent="0.15">
      <c r="A28" s="3" t="s">
        <v>39</v>
      </c>
      <c r="B28" s="3" t="s">
        <v>13</v>
      </c>
      <c r="C28" s="3" t="s">
        <v>13</v>
      </c>
      <c r="D28" s="3" t="s">
        <v>14</v>
      </c>
      <c r="E28" s="3" t="s">
        <v>41</v>
      </c>
      <c r="F28" s="3" t="s">
        <v>16</v>
      </c>
      <c r="G28" s="3" t="s">
        <v>42</v>
      </c>
      <c r="H28" s="3" t="s">
        <v>18</v>
      </c>
      <c r="I28" s="6">
        <v>111</v>
      </c>
      <c r="J28" s="6">
        <v>-357034.9</v>
      </c>
      <c r="K28" s="6">
        <v>4768.22</v>
      </c>
      <c r="L28" s="3" t="s">
        <v>19</v>
      </c>
    </row>
    <row r="29" spans="1:12" x14ac:dyDescent="0.15">
      <c r="A29" s="3" t="s">
        <v>39</v>
      </c>
      <c r="B29" s="3" t="s">
        <v>13</v>
      </c>
      <c r="C29" s="3" t="s">
        <v>13</v>
      </c>
      <c r="D29" s="3" t="s">
        <v>14</v>
      </c>
      <c r="E29" s="3" t="s">
        <v>41</v>
      </c>
      <c r="F29" s="3" t="s">
        <v>21</v>
      </c>
      <c r="G29" s="3" t="s">
        <v>22</v>
      </c>
      <c r="H29" s="3" t="s">
        <v>18</v>
      </c>
      <c r="I29" s="6">
        <v>113</v>
      </c>
      <c r="J29" s="6">
        <v>1653166.04</v>
      </c>
      <c r="K29" s="6">
        <v>-351.21</v>
      </c>
      <c r="L29" s="3" t="s">
        <v>19</v>
      </c>
    </row>
    <row r="30" spans="1:12" x14ac:dyDescent="0.15">
      <c r="A30" s="3" t="s">
        <v>39</v>
      </c>
      <c r="B30" s="3" t="s">
        <v>13</v>
      </c>
      <c r="C30" s="3" t="s">
        <v>13</v>
      </c>
      <c r="D30" s="3" t="s">
        <v>14</v>
      </c>
      <c r="E30" s="3" t="s">
        <v>41</v>
      </c>
      <c r="F30" s="3" t="s">
        <v>21</v>
      </c>
      <c r="G30" s="3" t="s">
        <v>26</v>
      </c>
      <c r="H30" s="3" t="s">
        <v>18</v>
      </c>
      <c r="I30" s="6">
        <v>331</v>
      </c>
      <c r="J30" s="6">
        <v>2360802.2799999998</v>
      </c>
      <c r="K30" s="6">
        <v>0</v>
      </c>
      <c r="L30" s="3" t="s">
        <v>19</v>
      </c>
    </row>
    <row r="31" spans="1:12" x14ac:dyDescent="0.15">
      <c r="A31" s="3" t="s">
        <v>39</v>
      </c>
      <c r="B31" s="3" t="s">
        <v>13</v>
      </c>
      <c r="C31" s="3" t="s">
        <v>13</v>
      </c>
      <c r="D31" s="3" t="s">
        <v>14</v>
      </c>
      <c r="E31" s="3" t="s">
        <v>41</v>
      </c>
      <c r="F31" s="3" t="s">
        <v>27</v>
      </c>
      <c r="G31" s="3" t="s">
        <v>28</v>
      </c>
      <c r="H31" s="3" t="s">
        <v>18</v>
      </c>
      <c r="I31" s="6">
        <v>70</v>
      </c>
      <c r="J31" s="6">
        <v>-1440700</v>
      </c>
      <c r="K31" s="6">
        <v>-6483.15</v>
      </c>
      <c r="L31" s="3" t="s">
        <v>19</v>
      </c>
    </row>
    <row r="32" spans="1:12" x14ac:dyDescent="0.15">
      <c r="A32" s="3" t="s">
        <v>39</v>
      </c>
      <c r="B32" s="3" t="s">
        <v>13</v>
      </c>
      <c r="C32" s="3" t="s">
        <v>13</v>
      </c>
      <c r="D32" s="3" t="s">
        <v>14</v>
      </c>
      <c r="E32" s="3" t="s">
        <v>41</v>
      </c>
      <c r="F32" s="3" t="s">
        <v>33</v>
      </c>
      <c r="G32" s="3" t="s">
        <v>17</v>
      </c>
      <c r="H32" s="3" t="s">
        <v>18</v>
      </c>
      <c r="I32" s="6">
        <v>87</v>
      </c>
      <c r="J32" s="6">
        <v>1251680.74</v>
      </c>
      <c r="K32" s="6">
        <v>-12228.66</v>
      </c>
      <c r="L32" s="3" t="s">
        <v>19</v>
      </c>
    </row>
    <row r="33" spans="9:10" x14ac:dyDescent="0.15">
      <c r="I33" s="7">
        <f>SUBTOTAL(9,I2:I32)</f>
        <v>162026</v>
      </c>
      <c r="J33" s="8">
        <f>SUBTOTAL(9,J2:J32)</f>
        <v>383735256.96000004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2026-02-02T07:31:21Z</dcterms:created>
  <dcterms:modified xsi:type="dcterms:W3CDTF">2026-02-03T07:46:34Z</dcterms:modified>
</cp:coreProperties>
</file>