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200" windowHeight="7620" tabRatio="833"/>
  </bookViews>
  <sheets>
    <sheet name="Process I - Bank vs PS" sheetId="2" r:id="rId1"/>
    <sheet name="Process II - Daily Ops" sheetId="1" r:id="rId2"/>
    <sheet name="Process III - Bank vs Cards" sheetId="3" r:id="rId3"/>
  </sheets>
  <definedNames>
    <definedName name="_xlnm._FilterDatabase" localSheetId="0" hidden="1">'Process I - Bank vs PS'!$A$1:$G$25</definedName>
    <definedName name="_xlnm._FilterDatabase" localSheetId="1" hidden="1">'Process II - Daily Ops'!$A$1:$L$36</definedName>
    <definedName name="_xlnm._FilterDatabase" localSheetId="2" hidden="1">'Process III - Bank vs Cards'!$A$1:$K$21</definedName>
  </definedNames>
  <calcPr calcId="162913"/>
</workbook>
</file>

<file path=xl/calcChain.xml><?xml version="1.0" encoding="utf-8"?>
<calcChain xmlns="http://schemas.openxmlformats.org/spreadsheetml/2006/main">
  <c r="J21" i="3" l="1"/>
  <c r="E13" i="2" l="1"/>
  <c r="G20" i="2" s="1"/>
  <c r="G14" i="1" l="1"/>
  <c r="E10" i="2" l="1"/>
  <c r="F10" i="2"/>
  <c r="F16" i="2" l="1"/>
  <c r="E16" i="2"/>
  <c r="G21" i="2" s="1"/>
  <c r="G20" i="1" l="1"/>
  <c r="G19" i="1"/>
  <c r="G4" i="1" l="1"/>
  <c r="H14" i="1" s="1"/>
  <c r="G5" i="1"/>
  <c r="G6" i="1"/>
  <c r="G7" i="1"/>
  <c r="G8" i="1"/>
  <c r="G9" i="1"/>
  <c r="G10" i="1"/>
  <c r="H20" i="1" s="1"/>
  <c r="G11" i="1"/>
  <c r="G15" i="1"/>
  <c r="I21" i="3" l="1"/>
  <c r="G19" i="2" l="1"/>
  <c r="J16" i="3" l="1"/>
  <c r="I20" i="3" l="1"/>
  <c r="G35" i="1" l="1"/>
  <c r="H35" i="1" s="1"/>
  <c r="G34" i="1"/>
  <c r="H34" i="1" s="1"/>
  <c r="G33" i="1"/>
  <c r="H33" i="1" s="1"/>
  <c r="G29" i="1" l="1"/>
  <c r="H29" i="1" s="1"/>
  <c r="G30" i="1"/>
  <c r="H30" i="1" s="1"/>
  <c r="I18" i="3" l="1"/>
  <c r="G26" i="1" l="1"/>
  <c r="H26" i="1" s="1"/>
  <c r="G25" i="1"/>
  <c r="H25" i="1" s="1"/>
  <c r="G23" i="1"/>
  <c r="H23" i="1" s="1"/>
  <c r="I13" i="3" l="1"/>
  <c r="I12" i="3"/>
  <c r="J18" i="3"/>
  <c r="J19" i="3"/>
  <c r="J20" i="3"/>
  <c r="I19" i="3"/>
  <c r="G36" i="1" l="1"/>
  <c r="H36" i="1" s="1"/>
  <c r="G21" i="1"/>
  <c r="H21" i="1" l="1"/>
  <c r="F4" i="2"/>
  <c r="E4" i="2"/>
  <c r="G17" i="2" l="1"/>
  <c r="I16" i="3"/>
  <c r="I17" i="3" l="1"/>
  <c r="I15" i="3" l="1"/>
  <c r="I14" i="3"/>
  <c r="J14" i="3"/>
  <c r="J13" i="3"/>
  <c r="J12" i="3"/>
  <c r="J17" i="3"/>
  <c r="J15" i="3"/>
  <c r="F7" i="2" l="1"/>
  <c r="F13" i="2" s="1"/>
  <c r="E7" i="2"/>
  <c r="G18" i="2" s="1"/>
  <c r="G22" i="2" l="1"/>
  <c r="G27" i="1"/>
  <c r="G18" i="1" l="1"/>
  <c r="H18" i="1" s="1"/>
  <c r="J34" i="1" l="1"/>
  <c r="G32" i="1"/>
  <c r="H32" i="1" s="1"/>
  <c r="J32" i="1" s="1"/>
  <c r="G31" i="1"/>
  <c r="H31" i="1" s="1"/>
  <c r="J30" i="1"/>
  <c r="G28" i="1"/>
  <c r="H28" i="1" s="1"/>
  <c r="J28" i="1" s="1"/>
  <c r="H27" i="1"/>
  <c r="G24" i="1"/>
  <c r="H24" i="1" s="1"/>
  <c r="J24" i="1" s="1"/>
  <c r="J25" i="1" l="1"/>
  <c r="J31" i="1"/>
  <c r="G22" i="1"/>
  <c r="H22" i="1" s="1"/>
  <c r="H19" i="1"/>
  <c r="G17" i="1"/>
  <c r="G16" i="1"/>
  <c r="G13" i="1"/>
  <c r="G12" i="1"/>
  <c r="G3" i="1"/>
  <c r="G2" i="1"/>
  <c r="J33" i="1" l="1"/>
  <c r="H15" i="1"/>
  <c r="J27" i="1"/>
  <c r="J22" i="1"/>
  <c r="J29" i="1"/>
  <c r="J23" i="1"/>
  <c r="H16" i="1"/>
  <c r="H17" i="1"/>
  <c r="H13" i="1"/>
  <c r="H12" i="1"/>
</calcChain>
</file>

<file path=xl/sharedStrings.xml><?xml version="1.0" encoding="utf-8"?>
<sst xmlns="http://schemas.openxmlformats.org/spreadsheetml/2006/main" count="336" uniqueCount="63">
  <si>
    <t>Credit</t>
  </si>
  <si>
    <t>Debit</t>
  </si>
  <si>
    <t>MC INT</t>
  </si>
  <si>
    <t>MC NSPK</t>
  </si>
  <si>
    <t>Incoming Validation</t>
  </si>
  <si>
    <t>VISA INT</t>
  </si>
  <si>
    <t>VISA NSPK</t>
  </si>
  <si>
    <t>Total</t>
  </si>
  <si>
    <t>Incoming Date</t>
  </si>
  <si>
    <t>Control Point</t>
  </si>
  <si>
    <t>Payment System</t>
  </si>
  <si>
    <t>Clearing EOD (CC Only)</t>
  </si>
  <si>
    <t>Financial Reconciliation Report</t>
  </si>
  <si>
    <t>Notes</t>
  </si>
  <si>
    <t xml:space="preserve">Incoming Summary </t>
  </si>
  <si>
    <t>(G - Column : Moneysend)</t>
  </si>
  <si>
    <t>Transaction Type : 05,06,07,25 (If transaction Type Empty, it is MIR)</t>
  </si>
  <si>
    <t xml:space="preserve">Tickets Open : </t>
  </si>
  <si>
    <t xml:space="preserve">Ticket Closed : </t>
  </si>
  <si>
    <t>Check Point</t>
  </si>
  <si>
    <t xml:space="preserve">Bug - Fixed! </t>
  </si>
  <si>
    <t>From Credit Clearing</t>
  </si>
  <si>
    <t>Comment</t>
  </si>
  <si>
    <t>_ From DEBIT Clearing</t>
  </si>
  <si>
    <t>C</t>
  </si>
  <si>
    <t>D</t>
  </si>
  <si>
    <t>MC Int</t>
  </si>
  <si>
    <t>MC NPSK</t>
  </si>
  <si>
    <t>System</t>
  </si>
  <si>
    <t>Currency</t>
  </si>
  <si>
    <t>Amount</t>
  </si>
  <si>
    <t>Count</t>
  </si>
  <si>
    <t>Credit/Debit Amount Flag</t>
  </si>
  <si>
    <t>Net</t>
  </si>
  <si>
    <t>ClearingOP</t>
  </si>
  <si>
    <t>Incoming Summary</t>
  </si>
  <si>
    <t>Difference</t>
  </si>
  <si>
    <t>INT</t>
  </si>
  <si>
    <t>N/A</t>
  </si>
  <si>
    <t>Moneysend</t>
  </si>
  <si>
    <t>N</t>
  </si>
  <si>
    <t>FinRECON</t>
  </si>
  <si>
    <t>Incoming Summary for EOD</t>
  </si>
  <si>
    <t>D (05 + 07)</t>
  </si>
  <si>
    <t>C (06 + 25)</t>
  </si>
  <si>
    <t>MTID 1240 (Y/N)</t>
  </si>
  <si>
    <t>Y</t>
  </si>
  <si>
    <t>-</t>
  </si>
  <si>
    <t>Difference Amount</t>
  </si>
  <si>
    <t>Difference Count</t>
  </si>
  <si>
    <t>MC DPR (ANR)</t>
  </si>
  <si>
    <t>MC DPR  (ANR)</t>
  </si>
  <si>
    <t>Gerceklesen</t>
  </si>
  <si>
    <t>Beklenti</t>
  </si>
  <si>
    <t>C (06 + 25+2x)</t>
  </si>
  <si>
    <t>MIR</t>
  </si>
  <si>
    <t>Domestic MC</t>
  </si>
  <si>
    <t>Domestic VISA</t>
  </si>
  <si>
    <t>Domestic MIR</t>
  </si>
  <si>
    <t>VISA  (VSS)</t>
  </si>
  <si>
    <t>MIR DPR (RECI)</t>
  </si>
  <si>
    <t>Simple Transactions</t>
  </si>
  <si>
    <t>Money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</si>
</sst>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 Light"/>
      <family val="2"/>
      <charset val="204"/>
    </font>
    <font>
      <b/>
      <sz val="10"/>
      <color theme="1"/>
      <name val="Calibri Light"/>
      <family val="2"/>
      <charset val="204"/>
    </font>
    <font>
      <sz val="10"/>
      <color rgb="FFFF0000"/>
      <name val="Calibri Light"/>
      <family val="2"/>
      <charset val="204"/>
    </font>
    <font>
      <b/>
      <sz val="10"/>
      <color theme="8" tint="0.39997558519241921"/>
      <name val="Calibri Light"/>
      <family val="2"/>
      <charset val="204"/>
    </font>
    <font>
      <sz val="10"/>
      <name val="Calibri Light"/>
      <family val="2"/>
      <charset val="204"/>
    </font>
    <font>
      <b/>
      <sz val="8"/>
      <color theme="1"/>
      <name val="Tahoma"/>
      <family val="2"/>
      <charset val="204"/>
    </font>
    <font>
      <sz val="8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4" fillId="0" borderId="0" xfId="0" applyFont="1"/>
    <xf numFmtId="3" fontId="4" fillId="0" borderId="0" xfId="0" applyNumberFormat="1" applyFont="1"/>
    <xf numFmtId="0" fontId="5" fillId="0" borderId="1" xfId="0" applyFont="1" applyBorder="1"/>
    <xf numFmtId="49" fontId="4" fillId="0" borderId="0" xfId="0" applyNumberFormat="1" applyFont="1"/>
    <xf numFmtId="3" fontId="4" fillId="0" borderId="0" xfId="0" applyNumberFormat="1" applyFont="1" applyFill="1"/>
    <xf numFmtId="0" fontId="4" fillId="2" borderId="1" xfId="0" applyFont="1" applyFill="1" applyBorder="1"/>
    <xf numFmtId="3" fontId="4" fillId="2" borderId="1" xfId="0" applyNumberFormat="1" applyFont="1" applyFill="1" applyBorder="1"/>
    <xf numFmtId="49" fontId="4" fillId="2" borderId="1" xfId="0" applyNumberFormat="1" applyFont="1" applyFill="1" applyBorder="1"/>
    <xf numFmtId="0" fontId="6" fillId="2" borderId="1" xfId="0" applyFont="1" applyFill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49" fontId="4" fillId="3" borderId="1" xfId="0" applyNumberFormat="1" applyFont="1" applyFill="1" applyBorder="1"/>
    <xf numFmtId="0" fontId="6" fillId="3" borderId="1" xfId="0" applyFont="1" applyFill="1" applyBorder="1"/>
    <xf numFmtId="3" fontId="7" fillId="3" borderId="1" xfId="0" applyNumberFormat="1" applyFont="1" applyFill="1" applyBorder="1"/>
    <xf numFmtId="3" fontId="7" fillId="2" borderId="1" xfId="0" applyNumberFormat="1" applyFont="1" applyFill="1" applyBorder="1"/>
    <xf numFmtId="3" fontId="8" fillId="3" borderId="1" xfId="0" applyNumberFormat="1" applyFont="1" applyFill="1" applyBorder="1"/>
    <xf numFmtId="0" fontId="5" fillId="0" borderId="2" xfId="0" applyFont="1" applyBorder="1"/>
    <xf numFmtId="3" fontId="5" fillId="0" borderId="2" xfId="0" applyNumberFormat="1" applyFont="1" applyFill="1" applyBorder="1"/>
    <xf numFmtId="49" fontId="5" fillId="0" borderId="2" xfId="0" applyNumberFormat="1" applyFont="1" applyBorder="1"/>
    <xf numFmtId="164" fontId="4" fillId="0" borderId="0" xfId="0" applyNumberFormat="1" applyFont="1"/>
    <xf numFmtId="3" fontId="4" fillId="0" borderId="1" xfId="0" applyNumberFormat="1" applyFont="1" applyBorder="1"/>
    <xf numFmtId="0" fontId="4" fillId="0" borderId="1" xfId="0" applyFont="1" applyBorder="1"/>
    <xf numFmtId="49" fontId="4" fillId="0" borderId="1" xfId="0" applyNumberFormat="1" applyFont="1" applyBorder="1"/>
    <xf numFmtId="3" fontId="4" fillId="4" borderId="1" xfId="0" applyNumberFormat="1" applyFont="1" applyFill="1" applyBorder="1"/>
    <xf numFmtId="4" fontId="4" fillId="4" borderId="1" xfId="0" applyNumberFormat="1" applyFont="1" applyFill="1" applyBorder="1"/>
    <xf numFmtId="0" fontId="5" fillId="0" borderId="0" xfId="0" applyFont="1"/>
    <xf numFmtId="3" fontId="5" fillId="0" borderId="1" xfId="0" applyNumberFormat="1" applyFont="1" applyBorder="1"/>
    <xf numFmtId="164" fontId="4" fillId="4" borderId="1" xfId="0" applyNumberFormat="1" applyFont="1" applyFill="1" applyBorder="1"/>
    <xf numFmtId="49" fontId="5" fillId="0" borderId="1" xfId="0" applyNumberFormat="1" applyFont="1" applyBorder="1"/>
    <xf numFmtId="49" fontId="9" fillId="0" borderId="1" xfId="0" applyNumberFormat="1" applyFont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0" fontId="4" fillId="5" borderId="1" xfId="0" applyFont="1" applyFill="1" applyBorder="1"/>
    <xf numFmtId="49" fontId="4" fillId="5" borderId="1" xfId="0" applyNumberFormat="1" applyFont="1" applyFill="1" applyBorder="1"/>
    <xf numFmtId="164" fontId="4" fillId="5" borderId="1" xfId="0" applyNumberFormat="1" applyFont="1" applyFill="1" applyBorder="1"/>
    <xf numFmtId="3" fontId="4" fillId="5" borderId="1" xfId="0" applyNumberFormat="1" applyFont="1" applyFill="1" applyBorder="1"/>
    <xf numFmtId="0" fontId="4" fillId="2" borderId="0" xfId="0" applyFont="1" applyFill="1"/>
    <xf numFmtId="0" fontId="6" fillId="0" borderId="1" xfId="0" applyFont="1" applyBorder="1"/>
    <xf numFmtId="49" fontId="6" fillId="0" borderId="1" xfId="0" applyNumberFormat="1" applyFont="1" applyBorder="1"/>
    <xf numFmtId="164" fontId="6" fillId="4" borderId="1" xfId="0" applyNumberFormat="1" applyFont="1" applyFill="1" applyBorder="1"/>
    <xf numFmtId="3" fontId="6" fillId="4" borderId="1" xfId="0" applyNumberFormat="1" applyFont="1" applyFill="1" applyBorder="1"/>
    <xf numFmtId="0" fontId="6" fillId="0" borderId="0" xfId="0" applyFont="1"/>
    <xf numFmtId="3" fontId="8" fillId="2" borderId="1" xfId="0" applyNumberFormat="1" applyFont="1" applyFill="1" applyBorder="1"/>
    <xf numFmtId="3" fontId="4" fillId="2" borderId="1" xfId="0" applyNumberFormat="1" applyFont="1" applyFill="1" applyBorder="1" applyAlignment="1">
      <alignment horizontal="right"/>
    </xf>
    <xf numFmtId="3" fontId="5" fillId="0" borderId="2" xfId="0" applyNumberFormat="1" applyFont="1" applyBorder="1"/>
    <xf numFmtId="3" fontId="6" fillId="4" borderId="3" xfId="0" applyNumberFormat="1" applyFont="1" applyFill="1" applyBorder="1"/>
    <xf numFmtId="3" fontId="4" fillId="3" borderId="1" xfId="0" applyNumberFormat="1" applyFont="1" applyFill="1" applyBorder="1"/>
    <xf numFmtId="3" fontId="9" fillId="0" borderId="0" xfId="0" applyNumberFormat="1" applyFont="1"/>
    <xf numFmtId="49" fontId="10" fillId="2" borderId="1" xfId="1" applyNumberFormat="1" applyFont="1" applyFill="1" applyBorder="1" applyAlignment="1">
      <alignment wrapText="1"/>
    </xf>
  </cellXfs>
  <cellStyles count="5">
    <cellStyle name="Обычный" xfId="0" builtinId="0"/>
    <cellStyle name="Обычный 2" xfId="1"/>
    <cellStyle name="Обычный 2 2" xfId="3"/>
    <cellStyle name="Обычный 3" xfId="2"/>
    <cellStyle name="Обычный 3 2" xfId="4"/>
  </cellStyles>
  <dxfs count="6"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66FF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2.75" x14ac:dyDescent="0.2"/>
  <cols>
    <col min="1" max="1" width="15.5703125" style="1" bestFit="1" customWidth="1"/>
    <col min="2" max="2" width="11.5703125" style="1" customWidth="1"/>
    <col min="3" max="3" width="9.28515625" style="1" bestFit="1" customWidth="1"/>
    <col min="4" max="4" width="26.140625" style="1" bestFit="1" customWidth="1"/>
    <col min="5" max="5" width="16.85546875" style="20" bestFit="1" customWidth="1"/>
    <col min="6" max="6" width="9.42578125" style="2" bestFit="1" customWidth="1"/>
    <col min="7" max="7" width="15.42578125" style="1" customWidth="1"/>
    <col min="8" max="16384" width="9.140625" style="1"/>
  </cols>
  <sheetData>
    <row r="1" spans="1:7" s="26" customFormat="1" x14ac:dyDescent="0.2">
      <c r="A1" s="3" t="s">
        <v>28</v>
      </c>
      <c r="B1" s="3" t="s">
        <v>28</v>
      </c>
      <c r="C1" s="3" t="s">
        <v>29</v>
      </c>
      <c r="D1" s="29" t="s">
        <v>32</v>
      </c>
      <c r="E1" s="31" t="s">
        <v>30</v>
      </c>
      <c r="F1" s="27" t="s">
        <v>31</v>
      </c>
      <c r="G1" s="3" t="s">
        <v>36</v>
      </c>
    </row>
    <row r="2" spans="1:7" x14ac:dyDescent="0.2">
      <c r="A2" s="22" t="s">
        <v>35</v>
      </c>
      <c r="B2" s="23" t="s">
        <v>26</v>
      </c>
      <c r="C2" s="22">
        <v>840</v>
      </c>
      <c r="D2" s="23" t="s">
        <v>24</v>
      </c>
      <c r="E2" s="32">
        <v>0</v>
      </c>
      <c r="F2" s="21">
        <v>0</v>
      </c>
      <c r="G2" s="22"/>
    </row>
    <row r="3" spans="1:7" x14ac:dyDescent="0.2">
      <c r="A3" s="22" t="s">
        <v>35</v>
      </c>
      <c r="B3" s="23" t="s">
        <v>26</v>
      </c>
      <c r="C3" s="22">
        <v>840</v>
      </c>
      <c r="D3" s="23" t="s">
        <v>25</v>
      </c>
      <c r="E3" s="32">
        <v>0</v>
      </c>
      <c r="F3" s="21">
        <v>0</v>
      </c>
      <c r="G3" s="22"/>
    </row>
    <row r="4" spans="1:7" x14ac:dyDescent="0.2">
      <c r="A4" s="22" t="s">
        <v>35</v>
      </c>
      <c r="B4" s="23" t="s">
        <v>26</v>
      </c>
      <c r="C4" s="22">
        <v>840</v>
      </c>
      <c r="D4" s="23" t="s">
        <v>33</v>
      </c>
      <c r="E4" s="28">
        <f>E2-E3</f>
        <v>0</v>
      </c>
      <c r="F4" s="24">
        <f>F3+F2</f>
        <v>0</v>
      </c>
      <c r="G4" s="22"/>
    </row>
    <row r="5" spans="1:7" x14ac:dyDescent="0.2">
      <c r="A5" s="22" t="s">
        <v>35</v>
      </c>
      <c r="B5" s="23" t="s">
        <v>26</v>
      </c>
      <c r="C5" s="22">
        <v>978</v>
      </c>
      <c r="D5" s="23" t="s">
        <v>24</v>
      </c>
      <c r="E5" s="32">
        <v>0</v>
      </c>
      <c r="F5" s="21">
        <v>0</v>
      </c>
      <c r="G5" s="22"/>
    </row>
    <row r="6" spans="1:7" x14ac:dyDescent="0.2">
      <c r="A6" s="22" t="s">
        <v>35</v>
      </c>
      <c r="B6" s="23" t="s">
        <v>26</v>
      </c>
      <c r="C6" s="22">
        <v>978</v>
      </c>
      <c r="D6" s="23" t="s">
        <v>25</v>
      </c>
      <c r="E6" s="32">
        <v>0</v>
      </c>
      <c r="F6" s="21">
        <v>0</v>
      </c>
      <c r="G6" s="22"/>
    </row>
    <row r="7" spans="1:7" x14ac:dyDescent="0.2">
      <c r="A7" s="22" t="s">
        <v>35</v>
      </c>
      <c r="B7" s="23" t="s">
        <v>26</v>
      </c>
      <c r="C7" s="22">
        <v>978</v>
      </c>
      <c r="D7" s="23" t="s">
        <v>33</v>
      </c>
      <c r="E7" s="28">
        <f>E5-E6</f>
        <v>0</v>
      </c>
      <c r="F7" s="24">
        <f>F6+F5</f>
        <v>0</v>
      </c>
      <c r="G7" s="22"/>
    </row>
    <row r="8" spans="1:7" x14ac:dyDescent="0.2">
      <c r="A8" s="22" t="s">
        <v>35</v>
      </c>
      <c r="B8" s="23" t="s">
        <v>27</v>
      </c>
      <c r="C8" s="22">
        <v>643</v>
      </c>
      <c r="D8" s="23" t="s">
        <v>24</v>
      </c>
      <c r="E8" s="32">
        <v>5265649.0600000005</v>
      </c>
      <c r="F8" s="21">
        <v>531</v>
      </c>
      <c r="G8" s="22"/>
    </row>
    <row r="9" spans="1:7" x14ac:dyDescent="0.2">
      <c r="A9" s="22" t="s">
        <v>35</v>
      </c>
      <c r="B9" s="23" t="s">
        <v>27</v>
      </c>
      <c r="C9" s="22">
        <v>643</v>
      </c>
      <c r="D9" s="23" t="s">
        <v>25</v>
      </c>
      <c r="E9" s="32">
        <v>31184229.309999999</v>
      </c>
      <c r="F9" s="21">
        <v>19583</v>
      </c>
      <c r="G9" s="22"/>
    </row>
    <row r="10" spans="1:7" x14ac:dyDescent="0.2">
      <c r="A10" s="22" t="s">
        <v>35</v>
      </c>
      <c r="B10" s="23" t="s">
        <v>27</v>
      </c>
      <c r="C10" s="22">
        <v>643</v>
      </c>
      <c r="D10" s="23" t="s">
        <v>33</v>
      </c>
      <c r="E10" s="28">
        <f>E8-E9</f>
        <v>-25918580.25</v>
      </c>
      <c r="F10" s="24">
        <f>F8+F9</f>
        <v>20114</v>
      </c>
      <c r="G10" s="22"/>
    </row>
    <row r="11" spans="1:7" x14ac:dyDescent="0.2">
      <c r="A11" s="22" t="s">
        <v>35</v>
      </c>
      <c r="B11" s="23" t="s">
        <v>6</v>
      </c>
      <c r="C11" s="22">
        <v>643</v>
      </c>
      <c r="D11" s="23" t="s">
        <v>24</v>
      </c>
      <c r="E11" s="32">
        <v>35360</v>
      </c>
      <c r="F11" s="21">
        <v>13</v>
      </c>
      <c r="G11" s="22"/>
    </row>
    <row r="12" spans="1:7" x14ac:dyDescent="0.2">
      <c r="A12" s="22" t="s">
        <v>35</v>
      </c>
      <c r="B12" s="23" t="s">
        <v>6</v>
      </c>
      <c r="C12" s="22">
        <v>643</v>
      </c>
      <c r="D12" s="23" t="s">
        <v>25</v>
      </c>
      <c r="E12" s="32">
        <v>217502.14</v>
      </c>
      <c r="F12" s="21">
        <v>110</v>
      </c>
      <c r="G12" s="22"/>
    </row>
    <row r="13" spans="1:7" x14ac:dyDescent="0.2">
      <c r="A13" s="22" t="s">
        <v>35</v>
      </c>
      <c r="B13" s="23" t="s">
        <v>6</v>
      </c>
      <c r="C13" s="22">
        <v>643</v>
      </c>
      <c r="D13" s="23" t="s">
        <v>33</v>
      </c>
      <c r="E13" s="28">
        <f>E11-E12</f>
        <v>-182142.14</v>
      </c>
      <c r="F13" s="24">
        <f>F11+F12</f>
        <v>123</v>
      </c>
      <c r="G13" s="22"/>
    </row>
    <row r="14" spans="1:7" x14ac:dyDescent="0.2">
      <c r="A14" s="22" t="s">
        <v>35</v>
      </c>
      <c r="B14" s="23" t="s">
        <v>55</v>
      </c>
      <c r="C14" s="22">
        <v>643</v>
      </c>
      <c r="D14" s="23" t="s">
        <v>24</v>
      </c>
      <c r="E14" s="32">
        <v>13005927.210000003</v>
      </c>
      <c r="F14" s="21">
        <v>1572</v>
      </c>
      <c r="G14" s="22"/>
    </row>
    <row r="15" spans="1:7" x14ac:dyDescent="0.2">
      <c r="A15" s="22" t="s">
        <v>35</v>
      </c>
      <c r="B15" s="23" t="s">
        <v>55</v>
      </c>
      <c r="C15" s="22">
        <v>643</v>
      </c>
      <c r="D15" s="23" t="s">
        <v>25</v>
      </c>
      <c r="E15" s="32">
        <v>56949773.079999991</v>
      </c>
      <c r="F15" s="21">
        <v>42481</v>
      </c>
      <c r="G15" s="22"/>
    </row>
    <row r="16" spans="1:7" x14ac:dyDescent="0.2">
      <c r="A16" s="22" t="s">
        <v>35</v>
      </c>
      <c r="B16" s="23" t="s">
        <v>55</v>
      </c>
      <c r="C16" s="22">
        <v>643</v>
      </c>
      <c r="D16" s="23" t="s">
        <v>33</v>
      </c>
      <c r="E16" s="28">
        <f>E14-E15</f>
        <v>-43943845.86999999</v>
      </c>
      <c r="F16" s="24">
        <f>F14+F15</f>
        <v>44053</v>
      </c>
      <c r="G16" s="22"/>
    </row>
    <row r="17" spans="1:7" x14ac:dyDescent="0.2">
      <c r="A17" s="33" t="s">
        <v>50</v>
      </c>
      <c r="B17" s="34" t="s">
        <v>26</v>
      </c>
      <c r="C17" s="33">
        <v>840</v>
      </c>
      <c r="D17" s="34" t="s">
        <v>33</v>
      </c>
      <c r="E17" s="35">
        <v>0</v>
      </c>
      <c r="F17" s="36">
        <v>0</v>
      </c>
      <c r="G17" s="25">
        <f>E17-E4</f>
        <v>0</v>
      </c>
    </row>
    <row r="18" spans="1:7" x14ac:dyDescent="0.2">
      <c r="A18" s="33" t="s">
        <v>51</v>
      </c>
      <c r="B18" s="34" t="s">
        <v>26</v>
      </c>
      <c r="C18" s="33">
        <v>978</v>
      </c>
      <c r="D18" s="34" t="s">
        <v>33</v>
      </c>
      <c r="E18" s="35">
        <v>0</v>
      </c>
      <c r="F18" s="36">
        <v>0</v>
      </c>
      <c r="G18" s="25">
        <f>E18-E7</f>
        <v>0</v>
      </c>
    </row>
    <row r="19" spans="1:7" x14ac:dyDescent="0.2">
      <c r="A19" s="33" t="s">
        <v>51</v>
      </c>
      <c r="B19" s="34" t="s">
        <v>27</v>
      </c>
      <c r="C19" s="33">
        <v>643</v>
      </c>
      <c r="D19" s="34" t="s">
        <v>33</v>
      </c>
      <c r="E19" s="35">
        <v>-25918580.25</v>
      </c>
      <c r="F19" s="36">
        <v>20114</v>
      </c>
      <c r="G19" s="25">
        <f>E10-E19</f>
        <v>0</v>
      </c>
    </row>
    <row r="20" spans="1:7" x14ac:dyDescent="0.2">
      <c r="A20" s="33" t="s">
        <v>59</v>
      </c>
      <c r="B20" s="34" t="s">
        <v>6</v>
      </c>
      <c r="C20" s="33">
        <v>643</v>
      </c>
      <c r="D20" s="34" t="s">
        <v>33</v>
      </c>
      <c r="E20" s="35">
        <v>-182142.14</v>
      </c>
      <c r="F20" s="36">
        <v>123</v>
      </c>
      <c r="G20" s="25">
        <f>E13-E20</f>
        <v>0</v>
      </c>
    </row>
    <row r="21" spans="1:7" x14ac:dyDescent="0.2">
      <c r="A21" s="33" t="s">
        <v>60</v>
      </c>
      <c r="B21" s="34" t="s">
        <v>55</v>
      </c>
      <c r="C21" s="33">
        <v>643</v>
      </c>
      <c r="D21" s="34" t="s">
        <v>33</v>
      </c>
      <c r="E21" s="35">
        <v>-43943845.869999997</v>
      </c>
      <c r="F21" s="36">
        <v>44053</v>
      </c>
      <c r="G21" s="25">
        <f>E16-E21</f>
        <v>0</v>
      </c>
    </row>
    <row r="22" spans="1:7" x14ac:dyDescent="0.2">
      <c r="A22" s="22" t="s">
        <v>34</v>
      </c>
      <c r="B22" s="22" t="s">
        <v>37</v>
      </c>
      <c r="C22" s="22"/>
      <c r="D22" s="22"/>
      <c r="E22" s="28" t="s">
        <v>38</v>
      </c>
      <c r="F22" s="21"/>
      <c r="G22" s="24">
        <f>F22-F7-F4</f>
        <v>0</v>
      </c>
    </row>
    <row r="23" spans="1:7" x14ac:dyDescent="0.2">
      <c r="A23" s="22" t="s">
        <v>34</v>
      </c>
      <c r="B23" s="22" t="s">
        <v>56</v>
      </c>
      <c r="C23" s="22"/>
      <c r="D23" s="22"/>
      <c r="E23" s="28" t="s">
        <v>38</v>
      </c>
      <c r="F23" s="21">
        <v>20114</v>
      </c>
      <c r="G23" s="24"/>
    </row>
    <row r="24" spans="1:7" x14ac:dyDescent="0.2">
      <c r="A24" s="22" t="s">
        <v>34</v>
      </c>
      <c r="B24" s="22" t="s">
        <v>57</v>
      </c>
      <c r="C24" s="22"/>
      <c r="D24" s="22"/>
      <c r="E24" s="32"/>
      <c r="F24" s="21">
        <v>123</v>
      </c>
      <c r="G24" s="24"/>
    </row>
    <row r="25" spans="1:7" x14ac:dyDescent="0.2">
      <c r="A25" s="22" t="s">
        <v>34</v>
      </c>
      <c r="B25" s="22" t="s">
        <v>58</v>
      </c>
      <c r="C25" s="22"/>
      <c r="D25" s="22"/>
      <c r="E25" s="22"/>
      <c r="F25" s="21">
        <v>44053</v>
      </c>
      <c r="G25" s="24"/>
    </row>
    <row r="26" spans="1:7" x14ac:dyDescent="0.2">
      <c r="E26" s="1"/>
      <c r="F26" s="1"/>
    </row>
    <row r="27" spans="1:7" x14ac:dyDescent="0.2">
      <c r="E27" s="1"/>
      <c r="F27" s="1"/>
    </row>
    <row r="28" spans="1:7" x14ac:dyDescent="0.2">
      <c r="E28" s="1"/>
      <c r="F28" s="1"/>
    </row>
    <row r="29" spans="1:7" x14ac:dyDescent="0.2">
      <c r="E29" s="1"/>
      <c r="F29" s="1"/>
    </row>
    <row r="30" spans="1:7" x14ac:dyDescent="0.2">
      <c r="E30" s="1"/>
      <c r="F30" s="1"/>
    </row>
  </sheetData>
  <autoFilter ref="A1:G2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zoomScale="90" zoomScaleNormal="90" workbookViewId="0">
      <pane ySplit="1" topLeftCell="A2" activePane="bottomLeft" state="frozen"/>
      <selection activeCell="H19" sqref="H19"/>
      <selection pane="bottomLeft" activeCell="E35" sqref="E35:E36"/>
    </sheetView>
  </sheetViews>
  <sheetFormatPr defaultRowHeight="12.75" x14ac:dyDescent="0.2"/>
  <cols>
    <col min="1" max="1" width="16.140625" style="1" bestFit="1" customWidth="1"/>
    <col min="2" max="2" width="24.85546875" style="1" bestFit="1" customWidth="1"/>
    <col min="3" max="3" width="17.7109375" style="1" bestFit="1" customWidth="1"/>
    <col min="4" max="4" width="12" style="1" bestFit="1" customWidth="1"/>
    <col min="5" max="5" width="21.140625" style="2" bestFit="1" customWidth="1"/>
    <col min="6" max="6" width="15.140625" style="2" bestFit="1" customWidth="1"/>
    <col min="7" max="7" width="10.7109375" style="1" customWidth="1"/>
    <col min="8" max="8" width="15.28515625" style="5" customWidth="1"/>
    <col min="9" max="9" width="21.28515625" style="4" customWidth="1"/>
    <col min="10" max="10" width="17.28515625" style="4" customWidth="1"/>
    <col min="11" max="11" width="48.85546875" style="1" customWidth="1"/>
    <col min="12" max="12" width="36.5703125" style="1" customWidth="1"/>
    <col min="13" max="16384" width="9.140625" style="1"/>
  </cols>
  <sheetData>
    <row r="1" spans="1:12" x14ac:dyDescent="0.2">
      <c r="A1" s="3" t="s">
        <v>8</v>
      </c>
      <c r="B1" s="3" t="s">
        <v>9</v>
      </c>
      <c r="C1" s="17" t="s">
        <v>10</v>
      </c>
      <c r="D1" s="17"/>
      <c r="E1" s="45" t="s">
        <v>61</v>
      </c>
      <c r="F1" s="45" t="s">
        <v>62</v>
      </c>
      <c r="G1" s="17" t="s">
        <v>7</v>
      </c>
      <c r="H1" s="18" t="s">
        <v>19</v>
      </c>
      <c r="I1" s="19" t="s">
        <v>13</v>
      </c>
      <c r="J1" s="17" t="s">
        <v>17</v>
      </c>
      <c r="K1" s="1" t="s">
        <v>22</v>
      </c>
      <c r="L1" s="17" t="s">
        <v>18</v>
      </c>
    </row>
    <row r="2" spans="1:12" x14ac:dyDescent="0.2">
      <c r="A2" s="10">
        <v>20260131</v>
      </c>
      <c r="B2" s="10" t="s">
        <v>4</v>
      </c>
      <c r="C2" s="10" t="s">
        <v>2</v>
      </c>
      <c r="D2" s="10" t="s">
        <v>0</v>
      </c>
      <c r="E2" s="11">
        <v>0</v>
      </c>
      <c r="F2" s="11">
        <v>0</v>
      </c>
      <c r="G2" s="11">
        <f t="shared" ref="G2:G32" si="0">SUM(E2:F2)</f>
        <v>0</v>
      </c>
      <c r="H2" s="11"/>
      <c r="I2" s="12"/>
      <c r="J2" s="11"/>
      <c r="K2" s="13"/>
      <c r="L2" s="10"/>
    </row>
    <row r="3" spans="1:12" x14ac:dyDescent="0.2">
      <c r="A3" s="10">
        <v>20260131</v>
      </c>
      <c r="B3" s="10" t="s">
        <v>4</v>
      </c>
      <c r="C3" s="10" t="s">
        <v>2</v>
      </c>
      <c r="D3" s="10" t="s">
        <v>1</v>
      </c>
      <c r="E3" s="11">
        <v>0</v>
      </c>
      <c r="F3" s="11">
        <v>0</v>
      </c>
      <c r="G3" s="11">
        <f t="shared" si="0"/>
        <v>0</v>
      </c>
      <c r="H3" s="11"/>
      <c r="I3" s="12"/>
      <c r="J3" s="11"/>
      <c r="K3" s="13"/>
      <c r="L3" s="10"/>
    </row>
    <row r="4" spans="1:12" x14ac:dyDescent="0.2">
      <c r="A4" s="10">
        <v>20260131</v>
      </c>
      <c r="B4" s="10" t="s">
        <v>4</v>
      </c>
      <c r="C4" s="10" t="s">
        <v>3</v>
      </c>
      <c r="D4" s="10" t="s">
        <v>0</v>
      </c>
      <c r="E4" s="47">
        <v>12673</v>
      </c>
      <c r="F4" s="47">
        <v>249</v>
      </c>
      <c r="G4" s="47">
        <f t="shared" si="0"/>
        <v>12922</v>
      </c>
      <c r="H4" s="11"/>
      <c r="I4" s="12"/>
      <c r="J4" s="11"/>
      <c r="K4" s="13"/>
      <c r="L4" s="10"/>
    </row>
    <row r="5" spans="1:12" x14ac:dyDescent="0.2">
      <c r="A5" s="10">
        <v>20260131</v>
      </c>
      <c r="B5" s="10" t="s">
        <v>4</v>
      </c>
      <c r="C5" s="10" t="s">
        <v>3</v>
      </c>
      <c r="D5" s="10" t="s">
        <v>1</v>
      </c>
      <c r="E5" s="11">
        <v>7110</v>
      </c>
      <c r="F5" s="11">
        <v>82</v>
      </c>
      <c r="G5" s="47">
        <f t="shared" si="0"/>
        <v>7192</v>
      </c>
      <c r="H5" s="11"/>
      <c r="I5" s="12"/>
      <c r="J5" s="11"/>
      <c r="K5" s="13"/>
      <c r="L5" s="10"/>
    </row>
    <row r="6" spans="1:12" x14ac:dyDescent="0.2">
      <c r="A6" s="10">
        <v>20260131</v>
      </c>
      <c r="B6" s="10" t="s">
        <v>4</v>
      </c>
      <c r="C6" s="10" t="s">
        <v>5</v>
      </c>
      <c r="D6" s="10" t="s">
        <v>0</v>
      </c>
      <c r="E6" s="11"/>
      <c r="F6" s="11"/>
      <c r="G6" s="47">
        <f t="shared" si="0"/>
        <v>0</v>
      </c>
      <c r="H6" s="11"/>
      <c r="I6" s="12"/>
      <c r="J6" s="11"/>
      <c r="K6" s="13"/>
      <c r="L6" s="10"/>
    </row>
    <row r="7" spans="1:12" x14ac:dyDescent="0.2">
      <c r="A7" s="10">
        <v>20260131</v>
      </c>
      <c r="B7" s="10" t="s">
        <v>4</v>
      </c>
      <c r="C7" s="10" t="s">
        <v>5</v>
      </c>
      <c r="D7" s="10" t="s">
        <v>1</v>
      </c>
      <c r="E7" s="11"/>
      <c r="F7" s="11"/>
      <c r="G7" s="47">
        <f t="shared" si="0"/>
        <v>0</v>
      </c>
      <c r="H7" s="11"/>
      <c r="I7" s="12"/>
      <c r="J7" s="11"/>
      <c r="K7" s="13"/>
      <c r="L7" s="10"/>
    </row>
    <row r="8" spans="1:12" x14ac:dyDescent="0.2">
      <c r="A8" s="10">
        <v>20260131</v>
      </c>
      <c r="B8" s="10" t="s">
        <v>4</v>
      </c>
      <c r="C8" s="10" t="s">
        <v>6</v>
      </c>
      <c r="D8" s="10" t="s">
        <v>0</v>
      </c>
      <c r="E8" s="11">
        <v>53</v>
      </c>
      <c r="F8" s="11">
        <v>10</v>
      </c>
      <c r="G8" s="47">
        <f t="shared" si="0"/>
        <v>63</v>
      </c>
      <c r="H8" s="11"/>
      <c r="I8" s="12"/>
      <c r="J8" s="11"/>
      <c r="K8" s="13"/>
      <c r="L8" s="10"/>
    </row>
    <row r="9" spans="1:12" x14ac:dyDescent="0.2">
      <c r="A9" s="10">
        <v>20260131</v>
      </c>
      <c r="B9" s="10" t="s">
        <v>4</v>
      </c>
      <c r="C9" s="10" t="s">
        <v>6</v>
      </c>
      <c r="D9" s="10" t="s">
        <v>1</v>
      </c>
      <c r="E9" s="11">
        <v>58</v>
      </c>
      <c r="F9" s="11">
        <v>2</v>
      </c>
      <c r="G9" s="47">
        <f t="shared" si="0"/>
        <v>60</v>
      </c>
      <c r="H9" s="11"/>
      <c r="I9" s="12"/>
      <c r="J9" s="11"/>
      <c r="K9" s="13"/>
      <c r="L9" s="10"/>
    </row>
    <row r="10" spans="1:12" x14ac:dyDescent="0.2">
      <c r="A10" s="10">
        <v>20260131</v>
      </c>
      <c r="B10" s="10" t="s">
        <v>4</v>
      </c>
      <c r="C10" s="10" t="s">
        <v>55</v>
      </c>
      <c r="D10" s="10" t="s">
        <v>0</v>
      </c>
      <c r="E10" s="47">
        <v>23039</v>
      </c>
      <c r="F10" s="47">
        <v>238</v>
      </c>
      <c r="G10" s="47">
        <f>SUM(E10:F10)</f>
        <v>23277</v>
      </c>
      <c r="H10" s="11"/>
      <c r="I10" s="12"/>
      <c r="J10" s="11"/>
      <c r="K10" s="13"/>
      <c r="L10" s="10"/>
    </row>
    <row r="11" spans="1:12" x14ac:dyDescent="0.2">
      <c r="A11" s="10">
        <v>20260131</v>
      </c>
      <c r="B11" s="10" t="s">
        <v>4</v>
      </c>
      <c r="C11" s="10" t="s">
        <v>55</v>
      </c>
      <c r="D11" s="10" t="s">
        <v>1</v>
      </c>
      <c r="E11" s="11">
        <v>19593</v>
      </c>
      <c r="F11" s="11">
        <v>1035</v>
      </c>
      <c r="G11" s="47">
        <f t="shared" si="0"/>
        <v>20628</v>
      </c>
      <c r="H11" s="11"/>
      <c r="I11" s="12"/>
      <c r="J11" s="11"/>
      <c r="K11" s="13"/>
      <c r="L11" s="10"/>
    </row>
    <row r="12" spans="1:12" x14ac:dyDescent="0.2">
      <c r="A12" s="6">
        <v>20260131</v>
      </c>
      <c r="B12" s="6" t="s">
        <v>14</v>
      </c>
      <c r="C12" s="6" t="s">
        <v>2</v>
      </c>
      <c r="D12" s="6" t="s">
        <v>0</v>
      </c>
      <c r="E12" s="7">
        <v>0</v>
      </c>
      <c r="F12" s="7">
        <v>0</v>
      </c>
      <c r="G12" s="7">
        <f t="shared" si="0"/>
        <v>0</v>
      </c>
      <c r="H12" s="7">
        <f t="shared" ref="H12:H21" si="1">G2-G12</f>
        <v>0</v>
      </c>
      <c r="I12" s="8" t="s">
        <v>15</v>
      </c>
      <c r="J12" s="7"/>
      <c r="K12" s="9"/>
      <c r="L12" s="6"/>
    </row>
    <row r="13" spans="1:12" x14ac:dyDescent="0.2">
      <c r="A13" s="6">
        <v>20260131</v>
      </c>
      <c r="B13" s="6" t="s">
        <v>14</v>
      </c>
      <c r="C13" s="6" t="s">
        <v>2</v>
      </c>
      <c r="D13" s="6" t="s">
        <v>1</v>
      </c>
      <c r="E13" s="7">
        <v>0</v>
      </c>
      <c r="F13" s="7">
        <v>0</v>
      </c>
      <c r="G13" s="7">
        <f t="shared" si="0"/>
        <v>0</v>
      </c>
      <c r="H13" s="7">
        <f t="shared" si="1"/>
        <v>0</v>
      </c>
      <c r="I13" s="8"/>
      <c r="J13" s="7"/>
      <c r="K13" s="9"/>
      <c r="L13" s="6"/>
    </row>
    <row r="14" spans="1:12" x14ac:dyDescent="0.2">
      <c r="A14" s="6">
        <v>20260131</v>
      </c>
      <c r="B14" s="6" t="s">
        <v>14</v>
      </c>
      <c r="C14" s="6" t="s">
        <v>3</v>
      </c>
      <c r="D14" s="6" t="s">
        <v>0</v>
      </c>
      <c r="E14" s="43">
        <v>12673</v>
      </c>
      <c r="F14" s="7">
        <v>249</v>
      </c>
      <c r="G14" s="7">
        <f>SUM(E14:F14)</f>
        <v>12922</v>
      </c>
      <c r="H14" s="7">
        <f>G4-G14</f>
        <v>0</v>
      </c>
      <c r="I14" s="49"/>
      <c r="J14" s="7"/>
      <c r="K14" s="9"/>
      <c r="L14" s="6"/>
    </row>
    <row r="15" spans="1:12" ht="12.75" customHeight="1" x14ac:dyDescent="0.2">
      <c r="A15" s="6">
        <v>20260131</v>
      </c>
      <c r="B15" s="6" t="s">
        <v>14</v>
      </c>
      <c r="C15" s="6" t="s">
        <v>3</v>
      </c>
      <c r="D15" s="6" t="s">
        <v>1</v>
      </c>
      <c r="E15" s="43">
        <v>7110</v>
      </c>
      <c r="F15" s="7">
        <v>82</v>
      </c>
      <c r="G15" s="7">
        <f t="shared" si="0"/>
        <v>7192</v>
      </c>
      <c r="H15" s="7">
        <f t="shared" si="1"/>
        <v>0</v>
      </c>
      <c r="I15" s="49"/>
      <c r="J15" s="7"/>
      <c r="K15" s="9"/>
      <c r="L15" s="6"/>
    </row>
    <row r="16" spans="1:12" x14ac:dyDescent="0.2">
      <c r="A16" s="6">
        <v>20260131</v>
      </c>
      <c r="B16" s="6" t="s">
        <v>14</v>
      </c>
      <c r="C16" s="6" t="s">
        <v>5</v>
      </c>
      <c r="D16" s="6" t="s">
        <v>0</v>
      </c>
      <c r="E16" s="7"/>
      <c r="F16" s="7"/>
      <c r="G16" s="7">
        <f t="shared" si="0"/>
        <v>0</v>
      </c>
      <c r="H16" s="7">
        <f t="shared" si="1"/>
        <v>0</v>
      </c>
      <c r="I16" s="8" t="s">
        <v>20</v>
      </c>
      <c r="J16" s="7"/>
      <c r="K16" s="9"/>
      <c r="L16" s="6"/>
    </row>
    <row r="17" spans="1:12" x14ac:dyDescent="0.2">
      <c r="A17" s="6">
        <v>20260131</v>
      </c>
      <c r="B17" s="6" t="s">
        <v>14</v>
      </c>
      <c r="C17" s="6" t="s">
        <v>5</v>
      </c>
      <c r="D17" s="6" t="s">
        <v>1</v>
      </c>
      <c r="E17" s="7"/>
      <c r="F17" s="7"/>
      <c r="G17" s="7">
        <f t="shared" si="0"/>
        <v>0</v>
      </c>
      <c r="H17" s="7">
        <f t="shared" si="1"/>
        <v>0</v>
      </c>
      <c r="I17" s="8"/>
      <c r="J17" s="7"/>
      <c r="K17" s="9"/>
      <c r="L17" s="6"/>
    </row>
    <row r="18" spans="1:12" x14ac:dyDescent="0.2">
      <c r="A18" s="6">
        <v>20260131</v>
      </c>
      <c r="B18" s="6" t="s">
        <v>14</v>
      </c>
      <c r="C18" s="6" t="s">
        <v>6</v>
      </c>
      <c r="D18" s="6" t="s">
        <v>0</v>
      </c>
      <c r="E18" s="7">
        <v>53</v>
      </c>
      <c r="F18" s="7">
        <v>10</v>
      </c>
      <c r="G18" s="7">
        <f t="shared" si="0"/>
        <v>63</v>
      </c>
      <c r="H18" s="7">
        <f>G8-G18</f>
        <v>0</v>
      </c>
      <c r="I18" s="8"/>
      <c r="J18" s="7"/>
      <c r="K18" s="9"/>
      <c r="L18" s="6"/>
    </row>
    <row r="19" spans="1:12" x14ac:dyDescent="0.2">
      <c r="A19" s="6">
        <v>20260131</v>
      </c>
      <c r="B19" s="6" t="s">
        <v>14</v>
      </c>
      <c r="C19" s="6" t="s">
        <v>6</v>
      </c>
      <c r="D19" s="6" t="s">
        <v>1</v>
      </c>
      <c r="E19" s="7">
        <v>58</v>
      </c>
      <c r="F19" s="44">
        <v>2</v>
      </c>
      <c r="G19" s="7">
        <f>SUM(E19:F19)</f>
        <v>60</v>
      </c>
      <c r="H19" s="7">
        <f t="shared" si="1"/>
        <v>0</v>
      </c>
      <c r="I19" s="8"/>
      <c r="J19" s="7"/>
      <c r="K19" s="9"/>
      <c r="L19" s="6"/>
    </row>
    <row r="20" spans="1:12" x14ac:dyDescent="0.2">
      <c r="A20" s="6">
        <v>20260131</v>
      </c>
      <c r="B20" s="6" t="s">
        <v>14</v>
      </c>
      <c r="C20" s="6" t="s">
        <v>55</v>
      </c>
      <c r="D20" s="6" t="s">
        <v>0</v>
      </c>
      <c r="E20" s="43">
        <v>23039</v>
      </c>
      <c r="F20" s="7">
        <v>238</v>
      </c>
      <c r="G20" s="7">
        <f>SUM(E20:F20)</f>
        <v>23277</v>
      </c>
      <c r="H20" s="7">
        <f t="shared" si="1"/>
        <v>0</v>
      </c>
      <c r="I20" s="49"/>
      <c r="J20" s="7"/>
      <c r="K20" s="9"/>
      <c r="L20" s="6"/>
    </row>
    <row r="21" spans="1:12" x14ac:dyDescent="0.2">
      <c r="A21" s="6">
        <v>20260131</v>
      </c>
      <c r="B21" s="6" t="s">
        <v>14</v>
      </c>
      <c r="C21" s="6" t="s">
        <v>55</v>
      </c>
      <c r="D21" s="6" t="s">
        <v>1</v>
      </c>
      <c r="E21" s="7">
        <v>19593</v>
      </c>
      <c r="F21" s="7">
        <v>1035</v>
      </c>
      <c r="G21" s="7">
        <f>SUM(E21:F21)</f>
        <v>20628</v>
      </c>
      <c r="H21" s="7">
        <f t="shared" si="1"/>
        <v>0</v>
      </c>
      <c r="I21" s="8"/>
      <c r="J21" s="7"/>
      <c r="K21" s="9"/>
      <c r="L21" s="6"/>
    </row>
    <row r="22" spans="1:12" x14ac:dyDescent="0.2">
      <c r="A22" s="10">
        <v>20260131</v>
      </c>
      <c r="B22" s="10" t="s">
        <v>11</v>
      </c>
      <c r="C22" s="10" t="s">
        <v>2</v>
      </c>
      <c r="D22" s="10" t="s">
        <v>0</v>
      </c>
      <c r="E22" s="11">
        <v>0</v>
      </c>
      <c r="F22" s="14">
        <v>0</v>
      </c>
      <c r="G22" s="11">
        <f t="shared" si="0"/>
        <v>0</v>
      </c>
      <c r="H22" s="11">
        <f>E12-G22</f>
        <v>0</v>
      </c>
      <c r="I22" s="12"/>
      <c r="J22" s="16">
        <f>H22-J2</f>
        <v>0</v>
      </c>
      <c r="K22" s="13"/>
      <c r="L22" s="10"/>
    </row>
    <row r="23" spans="1:12" x14ac:dyDescent="0.2">
      <c r="A23" s="10">
        <v>20260131</v>
      </c>
      <c r="B23" s="10" t="s">
        <v>11</v>
      </c>
      <c r="C23" s="10" t="s">
        <v>3</v>
      </c>
      <c r="D23" s="10" t="s">
        <v>0</v>
      </c>
      <c r="E23" s="11">
        <v>12673</v>
      </c>
      <c r="F23" s="48"/>
      <c r="G23" s="11">
        <f>SUM(E23:F23)</f>
        <v>12673</v>
      </c>
      <c r="H23" s="11">
        <f>E14-G23</f>
        <v>0</v>
      </c>
      <c r="I23" s="12"/>
      <c r="J23" s="16">
        <f>H23-J4</f>
        <v>0</v>
      </c>
      <c r="K23" s="13"/>
      <c r="L23" s="10"/>
    </row>
    <row r="24" spans="1:12" x14ac:dyDescent="0.2">
      <c r="A24" s="10">
        <v>20260131</v>
      </c>
      <c r="B24" s="10" t="s">
        <v>11</v>
      </c>
      <c r="C24" s="10" t="s">
        <v>5</v>
      </c>
      <c r="D24" s="10" t="s">
        <v>0</v>
      </c>
      <c r="E24" s="11"/>
      <c r="F24" s="14">
        <v>0</v>
      </c>
      <c r="G24" s="11">
        <f t="shared" si="0"/>
        <v>0</v>
      </c>
      <c r="H24" s="11">
        <f>E16-G24</f>
        <v>0</v>
      </c>
      <c r="I24" s="12"/>
      <c r="J24" s="16">
        <f>H24-J6</f>
        <v>0</v>
      </c>
      <c r="K24" s="13"/>
      <c r="L24" s="10"/>
    </row>
    <row r="25" spans="1:12" x14ac:dyDescent="0.2">
      <c r="A25" s="10">
        <v>20260131</v>
      </c>
      <c r="B25" s="10" t="s">
        <v>11</v>
      </c>
      <c r="C25" s="10" t="s">
        <v>6</v>
      </c>
      <c r="D25" s="10" t="s">
        <v>0</v>
      </c>
      <c r="E25" s="11">
        <v>53</v>
      </c>
      <c r="F25" s="14"/>
      <c r="G25" s="11">
        <f>SUM(E25:F25)</f>
        <v>53</v>
      </c>
      <c r="H25" s="11">
        <f>E8-G25</f>
        <v>0</v>
      </c>
      <c r="I25" s="12"/>
      <c r="J25" s="16">
        <f>H25-J8</f>
        <v>0</v>
      </c>
      <c r="K25" s="13"/>
      <c r="L25" s="10"/>
    </row>
    <row r="26" spans="1:12" x14ac:dyDescent="0.2">
      <c r="A26" s="10">
        <v>20260131</v>
      </c>
      <c r="B26" s="10" t="s">
        <v>11</v>
      </c>
      <c r="C26" s="10" t="s">
        <v>55</v>
      </c>
      <c r="D26" s="10" t="s">
        <v>0</v>
      </c>
      <c r="E26" s="11">
        <v>23039</v>
      </c>
      <c r="F26" s="14"/>
      <c r="G26" s="11">
        <f>SUM(E26:F26)</f>
        <v>23039</v>
      </c>
      <c r="H26" s="11">
        <f>G26-E20</f>
        <v>0</v>
      </c>
      <c r="I26" s="12"/>
      <c r="J26" s="16"/>
      <c r="K26" s="13"/>
      <c r="L26" s="10"/>
    </row>
    <row r="27" spans="1:12" x14ac:dyDescent="0.2">
      <c r="A27" s="6">
        <v>20260131</v>
      </c>
      <c r="B27" s="6" t="s">
        <v>12</v>
      </c>
      <c r="C27" s="6" t="s">
        <v>2</v>
      </c>
      <c r="D27" s="6" t="s">
        <v>0</v>
      </c>
      <c r="E27" s="7">
        <v>0</v>
      </c>
      <c r="F27" s="15">
        <v>0</v>
      </c>
      <c r="G27" s="7">
        <f t="shared" si="0"/>
        <v>0</v>
      </c>
      <c r="H27" s="7">
        <f>E22-G27</f>
        <v>0</v>
      </c>
      <c r="I27" s="8" t="s">
        <v>16</v>
      </c>
      <c r="J27" s="7">
        <f>H22+H27</f>
        <v>0</v>
      </c>
      <c r="K27" s="9" t="s">
        <v>21</v>
      </c>
      <c r="L27" s="6"/>
    </row>
    <row r="28" spans="1:12" x14ac:dyDescent="0.2">
      <c r="A28" s="6">
        <v>20260131</v>
      </c>
      <c r="B28" s="6" t="s">
        <v>12</v>
      </c>
      <c r="C28" s="6" t="s">
        <v>2</v>
      </c>
      <c r="D28" s="6" t="s">
        <v>1</v>
      </c>
      <c r="E28" s="7">
        <v>0</v>
      </c>
      <c r="F28" s="15">
        <v>0</v>
      </c>
      <c r="G28" s="7">
        <f t="shared" si="0"/>
        <v>0</v>
      </c>
      <c r="H28" s="7">
        <f>E13-G28</f>
        <v>0</v>
      </c>
      <c r="I28" s="8" t="s">
        <v>16</v>
      </c>
      <c r="J28" s="7">
        <f>H28-J3</f>
        <v>0</v>
      </c>
      <c r="K28" s="9" t="s">
        <v>23</v>
      </c>
      <c r="L28" s="6"/>
    </row>
    <row r="29" spans="1:12" x14ac:dyDescent="0.2">
      <c r="A29" s="6">
        <v>20260131</v>
      </c>
      <c r="B29" s="6" t="s">
        <v>12</v>
      </c>
      <c r="C29" s="6" t="s">
        <v>3</v>
      </c>
      <c r="D29" s="6" t="s">
        <v>0</v>
      </c>
      <c r="E29" s="7">
        <v>12673</v>
      </c>
      <c r="F29" s="15"/>
      <c r="G29" s="7">
        <f>SUM(E29:F29)</f>
        <v>12673</v>
      </c>
      <c r="H29" s="7">
        <f>E23-G29</f>
        <v>0</v>
      </c>
      <c r="I29" s="8"/>
      <c r="J29" s="7">
        <f>H23+H29</f>
        <v>0</v>
      </c>
      <c r="K29" s="9" t="s">
        <v>21</v>
      </c>
      <c r="L29" s="6"/>
    </row>
    <row r="30" spans="1:12" x14ac:dyDescent="0.2">
      <c r="A30" s="6">
        <v>20260131</v>
      </c>
      <c r="B30" s="6" t="s">
        <v>12</v>
      </c>
      <c r="C30" s="6" t="s">
        <v>3</v>
      </c>
      <c r="D30" s="6" t="s">
        <v>1</v>
      </c>
      <c r="E30" s="7">
        <v>7110</v>
      </c>
      <c r="F30" s="15"/>
      <c r="G30" s="7">
        <f>SUM(E30:F30)</f>
        <v>7110</v>
      </c>
      <c r="H30" s="7">
        <f>E15-G30</f>
        <v>0</v>
      </c>
      <c r="I30" s="8"/>
      <c r="J30" s="7">
        <f>H30-J5</f>
        <v>0</v>
      </c>
      <c r="K30" s="9" t="s">
        <v>23</v>
      </c>
      <c r="L30" s="6"/>
    </row>
    <row r="31" spans="1:12" x14ac:dyDescent="0.2">
      <c r="A31" s="6">
        <v>20260131</v>
      </c>
      <c r="B31" s="6" t="s">
        <v>12</v>
      </c>
      <c r="C31" s="6" t="s">
        <v>5</v>
      </c>
      <c r="D31" s="6" t="s">
        <v>0</v>
      </c>
      <c r="E31" s="7"/>
      <c r="F31" s="15">
        <v>0</v>
      </c>
      <c r="G31" s="7">
        <f t="shared" si="0"/>
        <v>0</v>
      </c>
      <c r="H31" s="7">
        <f>E24-G31</f>
        <v>0</v>
      </c>
      <c r="I31" s="8"/>
      <c r="J31" s="7">
        <f>H24+H31</f>
        <v>0</v>
      </c>
      <c r="K31" s="9" t="s">
        <v>21</v>
      </c>
      <c r="L31" s="6"/>
    </row>
    <row r="32" spans="1:12" x14ac:dyDescent="0.2">
      <c r="A32" s="6">
        <v>20260131</v>
      </c>
      <c r="B32" s="6" t="s">
        <v>12</v>
      </c>
      <c r="C32" s="6" t="s">
        <v>5</v>
      </c>
      <c r="D32" s="6" t="s">
        <v>1</v>
      </c>
      <c r="E32" s="7"/>
      <c r="F32" s="15">
        <v>0</v>
      </c>
      <c r="G32" s="7">
        <f t="shared" si="0"/>
        <v>0</v>
      </c>
      <c r="H32" s="7">
        <f>E7-G32</f>
        <v>0</v>
      </c>
      <c r="I32" s="8"/>
      <c r="J32" s="7">
        <f>H32-J7</f>
        <v>0</v>
      </c>
      <c r="K32" s="9" t="s">
        <v>23</v>
      </c>
      <c r="L32" s="6"/>
    </row>
    <row r="33" spans="1:12" x14ac:dyDescent="0.2">
      <c r="A33" s="6">
        <v>20260131</v>
      </c>
      <c r="B33" s="6" t="s">
        <v>12</v>
      </c>
      <c r="C33" s="6" t="s">
        <v>6</v>
      </c>
      <c r="D33" s="6" t="s">
        <v>0</v>
      </c>
      <c r="E33" s="7">
        <v>53</v>
      </c>
      <c r="F33" s="15"/>
      <c r="G33" s="7">
        <f>SUM(E33:F33)</f>
        <v>53</v>
      </c>
      <c r="H33" s="7">
        <f>E25-G33</f>
        <v>0</v>
      </c>
      <c r="I33" s="8"/>
      <c r="J33" s="7">
        <f>H25+H33</f>
        <v>0</v>
      </c>
      <c r="K33" s="9" t="s">
        <v>21</v>
      </c>
      <c r="L33" s="6"/>
    </row>
    <row r="34" spans="1:12" x14ac:dyDescent="0.2">
      <c r="A34" s="6">
        <v>20260131</v>
      </c>
      <c r="B34" s="6" t="s">
        <v>12</v>
      </c>
      <c r="C34" s="6" t="s">
        <v>6</v>
      </c>
      <c r="D34" s="6" t="s">
        <v>1</v>
      </c>
      <c r="E34" s="7">
        <v>58</v>
      </c>
      <c r="F34" s="15"/>
      <c r="G34" s="7">
        <f>SUM(E34:F34)</f>
        <v>58</v>
      </c>
      <c r="H34" s="7">
        <f>E9-G34</f>
        <v>0</v>
      </c>
      <c r="I34" s="8"/>
      <c r="J34" s="7">
        <f>H34-J9</f>
        <v>0</v>
      </c>
      <c r="K34" s="9" t="s">
        <v>23</v>
      </c>
      <c r="L34" s="6"/>
    </row>
    <row r="35" spans="1:12" s="37" customFormat="1" x14ac:dyDescent="0.2">
      <c r="A35" s="6">
        <v>20260131</v>
      </c>
      <c r="B35" s="6" t="s">
        <v>12</v>
      </c>
      <c r="C35" s="6" t="s">
        <v>55</v>
      </c>
      <c r="D35" s="6" t="s">
        <v>0</v>
      </c>
      <c r="E35" s="7">
        <v>23039</v>
      </c>
      <c r="F35" s="15"/>
      <c r="G35" s="7">
        <f>SUM(E35:F35)</f>
        <v>23039</v>
      </c>
      <c r="H35" s="7">
        <f>E26-G35</f>
        <v>0</v>
      </c>
      <c r="I35" s="8"/>
      <c r="J35" s="8"/>
      <c r="K35" s="6"/>
      <c r="L35" s="6"/>
    </row>
    <row r="36" spans="1:12" s="37" customFormat="1" x14ac:dyDescent="0.2">
      <c r="A36" s="6">
        <v>20260131</v>
      </c>
      <c r="B36" s="6" t="s">
        <v>12</v>
      </c>
      <c r="C36" s="6" t="s">
        <v>55</v>
      </c>
      <c r="D36" s="6" t="s">
        <v>1</v>
      </c>
      <c r="E36" s="7">
        <v>19593</v>
      </c>
      <c r="F36" s="15"/>
      <c r="G36" s="7">
        <f>SUM(E36:F36)</f>
        <v>19593</v>
      </c>
      <c r="H36" s="7">
        <f>E11-G36</f>
        <v>0</v>
      </c>
      <c r="I36" s="8"/>
      <c r="J36" s="8"/>
      <c r="K36" s="6"/>
      <c r="L36" s="6"/>
    </row>
  </sheetData>
  <autoFilter ref="A1:L36"/>
  <conditionalFormatting sqref="H2:H21">
    <cfRule type="cellIs" dxfId="5" priority="6" operator="greaterThan">
      <formula>0</formula>
    </cfRule>
  </conditionalFormatting>
  <conditionalFormatting sqref="H22:H36">
    <cfRule type="cellIs" dxfId="4" priority="5" operator="greaterThan">
      <formula>0</formula>
    </cfRule>
  </conditionalFormatting>
  <conditionalFormatting sqref="H27:H36">
    <cfRule type="cellIs" dxfId="3" priority="3" operator="equal">
      <formula>0</formula>
    </cfRule>
    <cfRule type="cellIs" dxfId="2" priority="4" operator="lessThan">
      <formula>0</formula>
    </cfRule>
  </conditionalFormatting>
  <conditionalFormatting sqref="J22:J26">
    <cfRule type="cellIs" dxfId="1" priority="2" operator="equal">
      <formula>0</formula>
    </cfRule>
  </conditionalFormatting>
  <conditionalFormatting sqref="J27:J3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90" zoomScaleNormal="90" workbookViewId="0">
      <selection activeCell="G16" sqref="G16:H21"/>
    </sheetView>
  </sheetViews>
  <sheetFormatPr defaultRowHeight="12.75" x14ac:dyDescent="0.2"/>
  <cols>
    <col min="1" max="1" width="33.7109375" style="1" customWidth="1"/>
    <col min="2" max="2" width="9.140625" style="1"/>
    <col min="3" max="3" width="18.28515625" style="1" bestFit="1" customWidth="1"/>
    <col min="4" max="4" width="12.5703125" style="1" bestFit="1" customWidth="1"/>
    <col min="5" max="5" width="9.28515625" style="1" bestFit="1" customWidth="1"/>
    <col min="6" max="6" width="26.140625" style="1" bestFit="1" customWidth="1"/>
    <col min="7" max="7" width="14.42578125" style="20" bestFit="1" customWidth="1"/>
    <col min="8" max="8" width="9.85546875" style="2" bestFit="1" customWidth="1"/>
    <col min="9" max="9" width="21.42578125" style="1" bestFit="1" customWidth="1"/>
    <col min="10" max="10" width="16.140625" style="1" bestFit="1" customWidth="1"/>
    <col min="11" max="11" width="13.85546875" style="1" bestFit="1" customWidth="1"/>
    <col min="12" max="12" width="19.42578125" style="1" customWidth="1"/>
    <col min="13" max="16384" width="9.140625" style="1"/>
  </cols>
  <sheetData>
    <row r="1" spans="1:11" s="26" customFormat="1" x14ac:dyDescent="0.2">
      <c r="A1" s="3" t="s">
        <v>28</v>
      </c>
      <c r="B1" s="3" t="s">
        <v>28</v>
      </c>
      <c r="C1" s="29" t="s">
        <v>45</v>
      </c>
      <c r="D1" s="30" t="s">
        <v>39</v>
      </c>
      <c r="E1" s="3" t="s">
        <v>29</v>
      </c>
      <c r="F1" s="29" t="s">
        <v>32</v>
      </c>
      <c r="G1" s="31" t="s">
        <v>30</v>
      </c>
      <c r="H1" s="27" t="s">
        <v>31</v>
      </c>
      <c r="I1" s="3" t="s">
        <v>48</v>
      </c>
      <c r="J1" s="3" t="s">
        <v>49</v>
      </c>
      <c r="K1" s="26" t="s">
        <v>22</v>
      </c>
    </row>
    <row r="2" spans="1:11" x14ac:dyDescent="0.2">
      <c r="A2" s="22" t="s">
        <v>42</v>
      </c>
      <c r="B2" s="23" t="s">
        <v>26</v>
      </c>
      <c r="C2" s="23" t="s">
        <v>46</v>
      </c>
      <c r="D2" s="23" t="s">
        <v>40</v>
      </c>
      <c r="E2" s="22">
        <v>840</v>
      </c>
      <c r="F2" s="23" t="s">
        <v>24</v>
      </c>
      <c r="G2" s="32">
        <v>0</v>
      </c>
      <c r="H2" s="21">
        <v>0</v>
      </c>
      <c r="I2" s="32"/>
      <c r="J2" s="21"/>
      <c r="K2" s="1" t="s">
        <v>53</v>
      </c>
    </row>
    <row r="3" spans="1:11" x14ac:dyDescent="0.2">
      <c r="A3" s="22" t="s">
        <v>42</v>
      </c>
      <c r="B3" s="23" t="s">
        <v>26</v>
      </c>
      <c r="C3" s="23" t="s">
        <v>46</v>
      </c>
      <c r="D3" s="23" t="s">
        <v>40</v>
      </c>
      <c r="E3" s="22">
        <v>840</v>
      </c>
      <c r="F3" s="23" t="s">
        <v>25</v>
      </c>
      <c r="G3" s="32">
        <v>0</v>
      </c>
      <c r="H3" s="21">
        <v>0</v>
      </c>
      <c r="I3" s="32"/>
      <c r="J3" s="21"/>
      <c r="K3" s="1" t="s">
        <v>53</v>
      </c>
    </row>
    <row r="4" spans="1:11" x14ac:dyDescent="0.2">
      <c r="A4" s="22" t="s">
        <v>42</v>
      </c>
      <c r="B4" s="23" t="s">
        <v>26</v>
      </c>
      <c r="C4" s="23" t="s">
        <v>46</v>
      </c>
      <c r="D4" s="23" t="s">
        <v>40</v>
      </c>
      <c r="E4" s="22">
        <v>978</v>
      </c>
      <c r="F4" s="23" t="s">
        <v>24</v>
      </c>
      <c r="G4" s="32">
        <v>0</v>
      </c>
      <c r="H4" s="21">
        <v>0</v>
      </c>
      <c r="I4" s="32"/>
      <c r="J4" s="21"/>
      <c r="K4" s="1" t="s">
        <v>53</v>
      </c>
    </row>
    <row r="5" spans="1:11" x14ac:dyDescent="0.2">
      <c r="A5" s="22" t="s">
        <v>42</v>
      </c>
      <c r="B5" s="23" t="s">
        <v>26</v>
      </c>
      <c r="C5" s="23" t="s">
        <v>46</v>
      </c>
      <c r="D5" s="23" t="s">
        <v>40</v>
      </c>
      <c r="E5" s="22">
        <v>978</v>
      </c>
      <c r="F5" s="23" t="s">
        <v>25</v>
      </c>
      <c r="G5" s="32">
        <v>0</v>
      </c>
      <c r="H5" s="21">
        <v>0</v>
      </c>
      <c r="I5" s="32"/>
      <c r="J5" s="21"/>
      <c r="K5" s="1" t="s">
        <v>53</v>
      </c>
    </row>
    <row r="6" spans="1:11" x14ac:dyDescent="0.2">
      <c r="A6" s="22" t="s">
        <v>42</v>
      </c>
      <c r="B6" s="23" t="s">
        <v>3</v>
      </c>
      <c r="C6" s="23" t="s">
        <v>46</v>
      </c>
      <c r="D6" s="23" t="s">
        <v>40</v>
      </c>
      <c r="E6" s="22">
        <v>643</v>
      </c>
      <c r="F6" s="23" t="s">
        <v>24</v>
      </c>
      <c r="G6" s="32">
        <v>2904846.78</v>
      </c>
      <c r="H6" s="21">
        <v>200</v>
      </c>
      <c r="I6" s="32"/>
      <c r="J6" s="21"/>
      <c r="K6" s="1" t="s">
        <v>53</v>
      </c>
    </row>
    <row r="7" spans="1:11" x14ac:dyDescent="0.2">
      <c r="A7" s="22" t="s">
        <v>42</v>
      </c>
      <c r="B7" s="23" t="s">
        <v>3</v>
      </c>
      <c r="C7" s="23" t="s">
        <v>46</v>
      </c>
      <c r="D7" s="23" t="s">
        <v>40</v>
      </c>
      <c r="E7" s="22">
        <v>643</v>
      </c>
      <c r="F7" s="23" t="s">
        <v>25</v>
      </c>
      <c r="G7" s="32">
        <v>31184229.309999999</v>
      </c>
      <c r="H7" s="21">
        <v>19583</v>
      </c>
      <c r="I7" s="32"/>
      <c r="J7" s="21"/>
      <c r="K7" s="1" t="s">
        <v>53</v>
      </c>
    </row>
    <row r="8" spans="1:11" x14ac:dyDescent="0.2">
      <c r="A8" s="22" t="s">
        <v>42</v>
      </c>
      <c r="B8" s="23" t="s">
        <v>6</v>
      </c>
      <c r="C8" s="23" t="s">
        <v>46</v>
      </c>
      <c r="D8" s="23" t="s">
        <v>40</v>
      </c>
      <c r="E8" s="22">
        <v>643</v>
      </c>
      <c r="F8" s="23" t="s">
        <v>24</v>
      </c>
      <c r="G8" s="32">
        <v>200</v>
      </c>
      <c r="H8" s="21">
        <v>1</v>
      </c>
      <c r="I8" s="32"/>
      <c r="J8" s="21"/>
      <c r="K8" s="1" t="s">
        <v>53</v>
      </c>
    </row>
    <row r="9" spans="1:11" x14ac:dyDescent="0.2">
      <c r="A9" s="22" t="s">
        <v>42</v>
      </c>
      <c r="B9" s="23" t="s">
        <v>6</v>
      </c>
      <c r="C9" s="23" t="s">
        <v>46</v>
      </c>
      <c r="D9" s="23" t="s">
        <v>40</v>
      </c>
      <c r="E9" s="22">
        <v>643</v>
      </c>
      <c r="F9" s="23" t="s">
        <v>25</v>
      </c>
      <c r="G9" s="32">
        <v>217502.14</v>
      </c>
      <c r="H9" s="21">
        <v>110</v>
      </c>
      <c r="I9" s="32"/>
      <c r="J9" s="21"/>
      <c r="K9" s="1" t="s">
        <v>53</v>
      </c>
    </row>
    <row r="10" spans="1:11" ht="12" customHeight="1" x14ac:dyDescent="0.2">
      <c r="A10" s="22" t="s">
        <v>42</v>
      </c>
      <c r="B10" s="23" t="s">
        <v>55</v>
      </c>
      <c r="C10" s="23" t="s">
        <v>46</v>
      </c>
      <c r="D10" s="23" t="s">
        <v>40</v>
      </c>
      <c r="E10" s="22">
        <v>643</v>
      </c>
      <c r="F10" s="23" t="s">
        <v>24</v>
      </c>
      <c r="G10" s="32">
        <v>2333053.79</v>
      </c>
      <c r="H10" s="21">
        <v>277</v>
      </c>
      <c r="I10" s="32"/>
      <c r="J10" s="21"/>
      <c r="K10" s="1" t="s">
        <v>53</v>
      </c>
    </row>
    <row r="11" spans="1:11" x14ac:dyDescent="0.2">
      <c r="A11" s="22" t="s">
        <v>42</v>
      </c>
      <c r="B11" s="23" t="s">
        <v>55</v>
      </c>
      <c r="C11" s="23" t="s">
        <v>46</v>
      </c>
      <c r="D11" s="23" t="s">
        <v>40</v>
      </c>
      <c r="E11" s="22">
        <v>643</v>
      </c>
      <c r="F11" s="23" t="s">
        <v>25</v>
      </c>
      <c r="G11" s="32">
        <v>56949333.079999991</v>
      </c>
      <c r="H11" s="21">
        <v>42355</v>
      </c>
      <c r="I11" s="32"/>
      <c r="J11" s="21"/>
      <c r="K11" s="1" t="s">
        <v>53</v>
      </c>
    </row>
    <row r="12" spans="1:11" x14ac:dyDescent="0.2">
      <c r="A12" s="22" t="s">
        <v>41</v>
      </c>
      <c r="B12" s="23" t="s">
        <v>26</v>
      </c>
      <c r="C12" s="23" t="s">
        <v>47</v>
      </c>
      <c r="D12" s="23" t="s">
        <v>38</v>
      </c>
      <c r="E12" s="22">
        <v>840</v>
      </c>
      <c r="F12" s="23" t="s">
        <v>44</v>
      </c>
      <c r="G12" s="32">
        <v>0</v>
      </c>
      <c r="H12" s="21">
        <v>0</v>
      </c>
      <c r="I12" s="28">
        <f t="shared" ref="I12:J17" si="0">G12-G2</f>
        <v>0</v>
      </c>
      <c r="J12" s="24">
        <f t="shared" si="0"/>
        <v>0</v>
      </c>
      <c r="K12" s="1" t="s">
        <v>52</v>
      </c>
    </row>
    <row r="13" spans="1:11" x14ac:dyDescent="0.2">
      <c r="A13" s="22" t="s">
        <v>41</v>
      </c>
      <c r="B13" s="23" t="s">
        <v>26</v>
      </c>
      <c r="C13" s="23" t="s">
        <v>47</v>
      </c>
      <c r="D13" s="23" t="s">
        <v>38</v>
      </c>
      <c r="E13" s="22">
        <v>840</v>
      </c>
      <c r="F13" s="23" t="s">
        <v>43</v>
      </c>
      <c r="G13" s="32">
        <v>0</v>
      </c>
      <c r="H13" s="21">
        <v>0</v>
      </c>
      <c r="I13" s="28">
        <f t="shared" si="0"/>
        <v>0</v>
      </c>
      <c r="J13" s="24">
        <f t="shared" si="0"/>
        <v>0</v>
      </c>
      <c r="K13" s="1" t="s">
        <v>52</v>
      </c>
    </row>
    <row r="14" spans="1:11" x14ac:dyDescent="0.2">
      <c r="A14" s="22" t="s">
        <v>41</v>
      </c>
      <c r="B14" s="23" t="s">
        <v>26</v>
      </c>
      <c r="C14" s="23" t="s">
        <v>47</v>
      </c>
      <c r="D14" s="23" t="s">
        <v>38</v>
      </c>
      <c r="E14" s="22">
        <v>978</v>
      </c>
      <c r="F14" s="23" t="s">
        <v>54</v>
      </c>
      <c r="G14" s="32">
        <v>0</v>
      </c>
      <c r="H14" s="21">
        <v>0</v>
      </c>
      <c r="I14" s="28">
        <f t="shared" si="0"/>
        <v>0</v>
      </c>
      <c r="J14" s="24">
        <f t="shared" si="0"/>
        <v>0</v>
      </c>
      <c r="K14" s="1" t="s">
        <v>52</v>
      </c>
    </row>
    <row r="15" spans="1:11" x14ac:dyDescent="0.2">
      <c r="A15" s="22" t="s">
        <v>41</v>
      </c>
      <c r="B15" s="23" t="s">
        <v>26</v>
      </c>
      <c r="C15" s="23" t="s">
        <v>47</v>
      </c>
      <c r="D15" s="23" t="s">
        <v>38</v>
      </c>
      <c r="E15" s="22">
        <v>978</v>
      </c>
      <c r="F15" s="23" t="s">
        <v>43</v>
      </c>
      <c r="G15" s="32">
        <v>0</v>
      </c>
      <c r="H15" s="21">
        <v>0</v>
      </c>
      <c r="I15" s="28">
        <f t="shared" si="0"/>
        <v>0</v>
      </c>
      <c r="J15" s="24">
        <f t="shared" si="0"/>
        <v>0</v>
      </c>
      <c r="K15" s="1" t="s">
        <v>52</v>
      </c>
    </row>
    <row r="16" spans="1:11" x14ac:dyDescent="0.2">
      <c r="A16" s="22" t="s">
        <v>41</v>
      </c>
      <c r="B16" s="23" t="s">
        <v>3</v>
      </c>
      <c r="C16" s="23" t="s">
        <v>47</v>
      </c>
      <c r="D16" s="23" t="s">
        <v>38</v>
      </c>
      <c r="E16" s="22">
        <v>643</v>
      </c>
      <c r="F16" s="23" t="s">
        <v>54</v>
      </c>
      <c r="G16" s="32">
        <v>2904846.78</v>
      </c>
      <c r="H16" s="21">
        <v>200</v>
      </c>
      <c r="I16" s="40">
        <f t="shared" si="0"/>
        <v>0</v>
      </c>
      <c r="J16" s="41">
        <f>H16-H6</f>
        <v>0</v>
      </c>
      <c r="K16" s="1" t="s">
        <v>52</v>
      </c>
    </row>
    <row r="17" spans="1:11" x14ac:dyDescent="0.2">
      <c r="A17" s="22" t="s">
        <v>41</v>
      </c>
      <c r="B17" s="23" t="s">
        <v>3</v>
      </c>
      <c r="C17" s="23" t="s">
        <v>47</v>
      </c>
      <c r="D17" s="23" t="s">
        <v>38</v>
      </c>
      <c r="E17" s="22">
        <v>643</v>
      </c>
      <c r="F17" s="23" t="s">
        <v>43</v>
      </c>
      <c r="G17" s="32">
        <v>31184229.309999999</v>
      </c>
      <c r="H17" s="21">
        <v>19583</v>
      </c>
      <c r="I17" s="28">
        <f t="shared" si="0"/>
        <v>0</v>
      </c>
      <c r="J17" s="24">
        <f t="shared" si="0"/>
        <v>0</v>
      </c>
      <c r="K17" s="1" t="s">
        <v>52</v>
      </c>
    </row>
    <row r="18" spans="1:11" x14ac:dyDescent="0.2">
      <c r="A18" s="22" t="s">
        <v>41</v>
      </c>
      <c r="B18" s="23" t="s">
        <v>6</v>
      </c>
      <c r="C18" s="23" t="s">
        <v>47</v>
      </c>
      <c r="D18" s="23" t="s">
        <v>40</v>
      </c>
      <c r="E18" s="22">
        <v>643</v>
      </c>
      <c r="F18" s="23" t="s">
        <v>44</v>
      </c>
      <c r="G18" s="32">
        <v>200</v>
      </c>
      <c r="H18" s="21">
        <v>1</v>
      </c>
      <c r="I18" s="28">
        <f t="shared" ref="I18:I20" si="1">G18-G8</f>
        <v>0</v>
      </c>
      <c r="J18" s="24">
        <f t="shared" ref="J18:J20" si="2">H18-H8</f>
        <v>0</v>
      </c>
      <c r="K18" s="1" t="s">
        <v>52</v>
      </c>
    </row>
    <row r="19" spans="1:11" x14ac:dyDescent="0.2">
      <c r="A19" s="22" t="s">
        <v>41</v>
      </c>
      <c r="B19" s="23" t="s">
        <v>6</v>
      </c>
      <c r="C19" s="23" t="s">
        <v>47</v>
      </c>
      <c r="D19" s="23" t="s">
        <v>40</v>
      </c>
      <c r="E19" s="22">
        <v>643</v>
      </c>
      <c r="F19" s="23" t="s">
        <v>43</v>
      </c>
      <c r="G19" s="32">
        <v>217502.14</v>
      </c>
      <c r="H19" s="21">
        <v>110</v>
      </c>
      <c r="I19" s="28">
        <f t="shared" si="1"/>
        <v>0</v>
      </c>
      <c r="J19" s="24">
        <f t="shared" si="2"/>
        <v>0</v>
      </c>
      <c r="K19" s="1" t="s">
        <v>52</v>
      </c>
    </row>
    <row r="20" spans="1:11" s="42" customFormat="1" x14ac:dyDescent="0.2">
      <c r="A20" s="38" t="s">
        <v>41</v>
      </c>
      <c r="B20" s="39" t="s">
        <v>55</v>
      </c>
      <c r="C20" s="39" t="s">
        <v>47</v>
      </c>
      <c r="D20" s="39" t="s">
        <v>40</v>
      </c>
      <c r="E20" s="38">
        <v>643</v>
      </c>
      <c r="F20" s="39" t="s">
        <v>44</v>
      </c>
      <c r="G20" s="32">
        <v>2333053.79</v>
      </c>
      <c r="H20" s="21">
        <v>277</v>
      </c>
      <c r="I20" s="40">
        <f t="shared" si="1"/>
        <v>0</v>
      </c>
      <c r="J20" s="46">
        <f t="shared" si="2"/>
        <v>0</v>
      </c>
      <c r="K20" s="1" t="s">
        <v>52</v>
      </c>
    </row>
    <row r="21" spans="1:11" s="42" customFormat="1" x14ac:dyDescent="0.2">
      <c r="A21" s="38" t="s">
        <v>41</v>
      </c>
      <c r="B21" s="39" t="s">
        <v>55</v>
      </c>
      <c r="C21" s="39" t="s">
        <v>47</v>
      </c>
      <c r="D21" s="39" t="s">
        <v>40</v>
      </c>
      <c r="E21" s="38">
        <v>643</v>
      </c>
      <c r="F21" s="39" t="s">
        <v>43</v>
      </c>
      <c r="G21" s="32">
        <v>56949333.079999991</v>
      </c>
      <c r="H21" s="21">
        <v>42355</v>
      </c>
      <c r="I21" s="40">
        <f>G21-G11</f>
        <v>0</v>
      </c>
      <c r="J21" s="41">
        <f>H21-H11</f>
        <v>0</v>
      </c>
      <c r="K21" s="42" t="s">
        <v>52</v>
      </c>
    </row>
  </sheetData>
  <autoFilter ref="A1:K2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Process I - Bank vs PS</vt:lpstr>
      <vt:lpstr>Process II - Daily Ops</vt:lpstr>
      <vt:lpstr>Process III - Bank vs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2026-02-03T07:36:46Z</dcterms:modified>
</cp:coreProperties>
</file>