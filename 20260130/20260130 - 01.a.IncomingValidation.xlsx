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8800" windowHeight="1366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1" l="1"/>
  <c r="I47" i="1"/>
</calcChain>
</file>

<file path=xl/sharedStrings.xml><?xml version="1.0" encoding="utf-8"?>
<sst xmlns="http://schemas.openxmlformats.org/spreadsheetml/2006/main" count="416" uniqueCount="51">
  <si>
    <t>Incoming Date</t>
  </si>
  <si>
    <t>Clearing System</t>
  </si>
  <si>
    <t>Card Type</t>
  </si>
  <si>
    <t>Validation Description</t>
  </si>
  <si>
    <t>Transaction Type</t>
  </si>
  <si>
    <t>Validation Status</t>
  </si>
  <si>
    <t>Defined</t>
  </si>
  <si>
    <t>Correctable</t>
  </si>
  <si>
    <t>Count</t>
  </si>
  <si>
    <t>Recon Amount</t>
  </si>
  <si>
    <t>Recon Currency</t>
  </si>
  <si>
    <t>1/30/2026</t>
  </si>
  <si>
    <t>MIR</t>
  </si>
  <si>
    <t>C</t>
  </si>
  <si>
    <t>CC Auth. Transaction Date Does not Match</t>
  </si>
  <si>
    <t>00</t>
  </si>
  <si>
    <t>N</t>
  </si>
  <si>
    <t>Y</t>
  </si>
  <si>
    <t>643</t>
  </si>
  <si>
    <t>CC Authorization Not Found</t>
  </si>
  <si>
    <t>CC Duplicate Authorization Number</t>
  </si>
  <si>
    <t>CC Matched</t>
  </si>
  <si>
    <t>01</t>
  </si>
  <si>
    <t>09</t>
  </si>
  <si>
    <t>20</t>
  </si>
  <si>
    <t>CC MS Matched</t>
  </si>
  <si>
    <t>26</t>
  </si>
  <si>
    <t>28</t>
  </si>
  <si>
    <t>CC Refund-Multiple Sales Found</t>
  </si>
  <si>
    <t>CC Refund-Sales Not Found</t>
  </si>
  <si>
    <t>CC Refund Amount Greater Than Sales</t>
  </si>
  <si>
    <t>D</t>
  </si>
  <si>
    <t>DC Budget Matched</t>
  </si>
  <si>
    <t>22</t>
  </si>
  <si>
    <t>DC Card Status Error</t>
  </si>
  <si>
    <t>P</t>
  </si>
  <si>
    <t>DC MS Matched</t>
  </si>
  <si>
    <t>DC Refund-Multiple Sales Found</t>
  </si>
  <si>
    <t>DC Refund-Sales Not Found</t>
  </si>
  <si>
    <t>Debit Card Transactions</t>
  </si>
  <si>
    <t>NSPK-MC</t>
  </si>
  <si>
    <t>18</t>
  </si>
  <si>
    <t>DC Refund Amount Greater Than Sales</t>
  </si>
  <si>
    <t>NSPK-VISA</t>
  </si>
  <si>
    <t xml:space="preserve">CC Matched                                        </t>
  </si>
  <si>
    <t>05/1</t>
  </si>
  <si>
    <t>25/1</t>
  </si>
  <si>
    <t xml:space="preserve">CC MS Matched                                     </t>
  </si>
  <si>
    <t>06/1</t>
  </si>
  <si>
    <t xml:space="preserve">Debit Card Transactions                           </t>
  </si>
  <si>
    <t>07/1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</si>
</sst>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7"/>
  <sheetViews>
    <sheetView tabSelected="1" workbookViewId="0">
      <selection sqref="A1:XFD1"/>
    </sheetView>
  </sheetViews>
  <sheetFormatPr defaultRowHeight="10.5" x14ac:dyDescent="0.15"/>
  <cols>
    <col min="1" max="1" width="12.85546875" style="3" bestFit="1" customWidth="1"/>
    <col min="2" max="2" width="14.28515625" style="3" bestFit="1" customWidth="1"/>
    <col min="3" max="3" width="23.42578125" style="3" bestFit="1" customWidth="1"/>
    <col min="4" max="4" width="31.28515625" style="3" bestFit="1" customWidth="1"/>
    <col min="5" max="5" width="15.140625" style="3" bestFit="1" customWidth="1"/>
    <col min="6" max="6" width="14.85546875" style="3" bestFit="1" customWidth="1"/>
    <col min="7" max="7" width="7.140625" style="3" bestFit="1" customWidth="1"/>
    <col min="8" max="8" width="10.42578125" style="3" bestFit="1" customWidth="1"/>
    <col min="9" max="9" width="7.5703125" style="6" bestFit="1" customWidth="1"/>
    <col min="10" max="10" width="13.85546875" style="6" bestFit="1" customWidth="1"/>
    <col min="11" max="11" width="13.85546875" style="3" bestFit="1" customWidth="1"/>
    <col min="12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6">
        <v>31</v>
      </c>
      <c r="J2" s="6">
        <v>6517.12</v>
      </c>
      <c r="K2" s="3" t="s">
        <v>18</v>
      </c>
    </row>
    <row r="3" spans="1:68" x14ac:dyDescent="0.15">
      <c r="A3" s="3" t="s">
        <v>11</v>
      </c>
      <c r="B3" s="3" t="s">
        <v>12</v>
      </c>
      <c r="C3" s="3" t="s">
        <v>13</v>
      </c>
      <c r="D3" s="3" t="s">
        <v>19</v>
      </c>
      <c r="E3" s="3" t="s">
        <v>15</v>
      </c>
      <c r="F3" s="3" t="s">
        <v>16</v>
      </c>
      <c r="G3" s="3" t="s">
        <v>17</v>
      </c>
      <c r="H3" s="3" t="s">
        <v>17</v>
      </c>
      <c r="I3" s="6">
        <v>2</v>
      </c>
      <c r="J3" s="6">
        <v>166</v>
      </c>
      <c r="K3" s="3" t="s">
        <v>18</v>
      </c>
    </row>
    <row r="4" spans="1:68" x14ac:dyDescent="0.15">
      <c r="A4" s="3" t="s">
        <v>11</v>
      </c>
      <c r="B4" s="3" t="s">
        <v>12</v>
      </c>
      <c r="C4" s="3" t="s">
        <v>13</v>
      </c>
      <c r="D4" s="3" t="s">
        <v>20</v>
      </c>
      <c r="E4" s="3" t="s">
        <v>15</v>
      </c>
      <c r="F4" s="3" t="s">
        <v>16</v>
      </c>
      <c r="G4" s="3" t="s">
        <v>17</v>
      </c>
      <c r="H4" s="3" t="s">
        <v>17</v>
      </c>
      <c r="I4" s="6">
        <v>5</v>
      </c>
      <c r="J4" s="6">
        <v>4037.5</v>
      </c>
      <c r="K4" s="3" t="s">
        <v>18</v>
      </c>
    </row>
    <row r="5" spans="1:68" x14ac:dyDescent="0.15">
      <c r="A5" s="3" t="s">
        <v>11</v>
      </c>
      <c r="B5" s="3" t="s">
        <v>12</v>
      </c>
      <c r="C5" s="3" t="s">
        <v>13</v>
      </c>
      <c r="D5" s="3" t="s">
        <v>21</v>
      </c>
      <c r="E5" s="3" t="s">
        <v>15</v>
      </c>
      <c r="F5" s="3" t="s">
        <v>16</v>
      </c>
      <c r="G5" s="3" t="s">
        <v>17</v>
      </c>
      <c r="H5" s="3" t="s">
        <v>16</v>
      </c>
      <c r="I5" s="6">
        <v>22531</v>
      </c>
      <c r="J5" s="6">
        <v>33455900.399999999</v>
      </c>
      <c r="K5" s="3" t="s">
        <v>18</v>
      </c>
    </row>
    <row r="6" spans="1:68" x14ac:dyDescent="0.15">
      <c r="A6" s="3" t="s">
        <v>11</v>
      </c>
      <c r="B6" s="3" t="s">
        <v>12</v>
      </c>
      <c r="C6" s="3" t="s">
        <v>13</v>
      </c>
      <c r="D6" s="3" t="s">
        <v>21</v>
      </c>
      <c r="E6" s="3" t="s">
        <v>22</v>
      </c>
      <c r="F6" s="3" t="s">
        <v>16</v>
      </c>
      <c r="G6" s="3" t="s">
        <v>17</v>
      </c>
      <c r="H6" s="3" t="s">
        <v>16</v>
      </c>
      <c r="I6" s="6">
        <v>67</v>
      </c>
      <c r="J6" s="6">
        <v>1296637.33</v>
      </c>
      <c r="K6" s="3" t="s">
        <v>18</v>
      </c>
    </row>
    <row r="7" spans="1:68" x14ac:dyDescent="0.15">
      <c r="A7" s="3" t="s">
        <v>11</v>
      </c>
      <c r="B7" s="3" t="s">
        <v>12</v>
      </c>
      <c r="C7" s="3" t="s">
        <v>13</v>
      </c>
      <c r="D7" s="3" t="s">
        <v>21</v>
      </c>
      <c r="E7" s="3" t="s">
        <v>23</v>
      </c>
      <c r="F7" s="3" t="s">
        <v>16</v>
      </c>
      <c r="G7" s="3" t="s">
        <v>17</v>
      </c>
      <c r="H7" s="3" t="s">
        <v>16</v>
      </c>
      <c r="I7" s="6">
        <v>23</v>
      </c>
      <c r="J7" s="6">
        <v>109903.56</v>
      </c>
      <c r="K7" s="3" t="s">
        <v>18</v>
      </c>
    </row>
    <row r="8" spans="1:68" x14ac:dyDescent="0.15">
      <c r="A8" s="3" t="s">
        <v>11</v>
      </c>
      <c r="B8" s="3" t="s">
        <v>12</v>
      </c>
      <c r="C8" s="3" t="s">
        <v>13</v>
      </c>
      <c r="D8" s="3" t="s">
        <v>21</v>
      </c>
      <c r="E8" s="3" t="s">
        <v>24</v>
      </c>
      <c r="F8" s="3" t="s">
        <v>16</v>
      </c>
      <c r="G8" s="3" t="s">
        <v>17</v>
      </c>
      <c r="H8" s="3" t="s">
        <v>16</v>
      </c>
      <c r="I8" s="6">
        <v>106</v>
      </c>
      <c r="J8" s="6">
        <v>1404003.5</v>
      </c>
      <c r="K8" s="3" t="s">
        <v>18</v>
      </c>
    </row>
    <row r="9" spans="1:68" x14ac:dyDescent="0.15">
      <c r="A9" s="3" t="s">
        <v>11</v>
      </c>
      <c r="B9" s="3" t="s">
        <v>12</v>
      </c>
      <c r="C9" s="3" t="s">
        <v>13</v>
      </c>
      <c r="D9" s="3" t="s">
        <v>25</v>
      </c>
      <c r="E9" s="3" t="s">
        <v>26</v>
      </c>
      <c r="F9" s="3" t="s">
        <v>16</v>
      </c>
      <c r="G9" s="3" t="s">
        <v>17</v>
      </c>
      <c r="H9" s="3" t="s">
        <v>16</v>
      </c>
      <c r="I9" s="6">
        <v>52</v>
      </c>
      <c r="J9" s="6">
        <v>705760</v>
      </c>
      <c r="K9" s="3" t="s">
        <v>18</v>
      </c>
    </row>
    <row r="10" spans="1:68" x14ac:dyDescent="0.15">
      <c r="A10" s="3" t="s">
        <v>11</v>
      </c>
      <c r="B10" s="3" t="s">
        <v>12</v>
      </c>
      <c r="C10" s="3" t="s">
        <v>13</v>
      </c>
      <c r="D10" s="3" t="s">
        <v>25</v>
      </c>
      <c r="E10" s="3" t="s">
        <v>27</v>
      </c>
      <c r="F10" s="3" t="s">
        <v>16</v>
      </c>
      <c r="G10" s="3" t="s">
        <v>17</v>
      </c>
      <c r="H10" s="3" t="s">
        <v>16</v>
      </c>
      <c r="I10" s="6">
        <v>164</v>
      </c>
      <c r="J10" s="6">
        <v>875017.53</v>
      </c>
      <c r="K10" s="3" t="s">
        <v>18</v>
      </c>
    </row>
    <row r="11" spans="1:68" x14ac:dyDescent="0.15">
      <c r="A11" s="3" t="s">
        <v>11</v>
      </c>
      <c r="B11" s="3" t="s">
        <v>12</v>
      </c>
      <c r="C11" s="3" t="s">
        <v>13</v>
      </c>
      <c r="D11" s="3" t="s">
        <v>28</v>
      </c>
      <c r="E11" s="3" t="s">
        <v>24</v>
      </c>
      <c r="F11" s="3" t="s">
        <v>16</v>
      </c>
      <c r="G11" s="3" t="s">
        <v>17</v>
      </c>
      <c r="H11" s="3" t="s">
        <v>17</v>
      </c>
      <c r="I11" s="6">
        <v>79</v>
      </c>
      <c r="J11" s="6">
        <v>331437.75</v>
      </c>
      <c r="K11" s="3" t="s">
        <v>18</v>
      </c>
    </row>
    <row r="12" spans="1:68" x14ac:dyDescent="0.15">
      <c r="A12" s="3" t="s">
        <v>11</v>
      </c>
      <c r="B12" s="3" t="s">
        <v>12</v>
      </c>
      <c r="C12" s="3" t="s">
        <v>13</v>
      </c>
      <c r="D12" s="3" t="s">
        <v>29</v>
      </c>
      <c r="E12" s="3" t="s">
        <v>24</v>
      </c>
      <c r="F12" s="3" t="s">
        <v>16</v>
      </c>
      <c r="G12" s="3" t="s">
        <v>17</v>
      </c>
      <c r="H12" s="3" t="s">
        <v>17</v>
      </c>
      <c r="I12" s="6">
        <v>7</v>
      </c>
      <c r="J12" s="6">
        <v>23614.2</v>
      </c>
      <c r="K12" s="3" t="s">
        <v>18</v>
      </c>
    </row>
    <row r="13" spans="1:68" x14ac:dyDescent="0.15">
      <c r="A13" s="3" t="s">
        <v>11</v>
      </c>
      <c r="B13" s="3" t="s">
        <v>12</v>
      </c>
      <c r="C13" s="3" t="s">
        <v>13</v>
      </c>
      <c r="D13" s="3" t="s">
        <v>30</v>
      </c>
      <c r="E13" s="3" t="s">
        <v>24</v>
      </c>
      <c r="F13" s="3" t="s">
        <v>16</v>
      </c>
      <c r="G13" s="3" t="s">
        <v>17</v>
      </c>
      <c r="H13" s="3" t="s">
        <v>17</v>
      </c>
      <c r="I13" s="6">
        <v>6</v>
      </c>
      <c r="J13" s="6">
        <v>10110.129999999999</v>
      </c>
      <c r="K13" s="3" t="s">
        <v>18</v>
      </c>
    </row>
    <row r="14" spans="1:68" x14ac:dyDescent="0.15">
      <c r="A14" s="3" t="s">
        <v>11</v>
      </c>
      <c r="B14" s="3" t="s">
        <v>12</v>
      </c>
      <c r="C14" s="3" t="s">
        <v>31</v>
      </c>
      <c r="D14" s="3" t="s">
        <v>32</v>
      </c>
      <c r="E14" s="3" t="s">
        <v>33</v>
      </c>
      <c r="F14" s="3" t="s">
        <v>16</v>
      </c>
      <c r="G14" s="3" t="s">
        <v>17</v>
      </c>
      <c r="H14" s="3" t="s">
        <v>16</v>
      </c>
      <c r="I14" s="6">
        <v>6</v>
      </c>
      <c r="J14" s="6">
        <v>114446.22</v>
      </c>
      <c r="K14" s="3" t="s">
        <v>18</v>
      </c>
    </row>
    <row r="15" spans="1:68" x14ac:dyDescent="0.15">
      <c r="A15" s="3" t="s">
        <v>11</v>
      </c>
      <c r="B15" s="3" t="s">
        <v>12</v>
      </c>
      <c r="C15" s="3" t="s">
        <v>31</v>
      </c>
      <c r="D15" s="3" t="s">
        <v>34</v>
      </c>
      <c r="E15" s="3" t="s">
        <v>15</v>
      </c>
      <c r="F15" s="3" t="s">
        <v>35</v>
      </c>
      <c r="G15" s="3" t="s">
        <v>17</v>
      </c>
      <c r="H15" s="3" t="s">
        <v>16</v>
      </c>
      <c r="I15" s="6">
        <v>14</v>
      </c>
      <c r="J15" s="6">
        <v>10274.31</v>
      </c>
      <c r="K15" s="3" t="s">
        <v>18</v>
      </c>
    </row>
    <row r="16" spans="1:68" x14ac:dyDescent="0.15">
      <c r="A16" s="3" t="s">
        <v>11</v>
      </c>
      <c r="B16" s="3" t="s">
        <v>12</v>
      </c>
      <c r="C16" s="3" t="s">
        <v>31</v>
      </c>
      <c r="D16" s="3" t="s">
        <v>34</v>
      </c>
      <c r="E16" s="3" t="s">
        <v>22</v>
      </c>
      <c r="F16" s="3" t="s">
        <v>35</v>
      </c>
      <c r="G16" s="3" t="s">
        <v>17</v>
      </c>
      <c r="H16" s="3" t="s">
        <v>16</v>
      </c>
      <c r="I16" s="6">
        <v>1</v>
      </c>
      <c r="J16" s="6">
        <v>3000</v>
      </c>
      <c r="K16" s="3" t="s">
        <v>18</v>
      </c>
    </row>
    <row r="17" spans="1:11" x14ac:dyDescent="0.15">
      <c r="A17" s="3" t="s">
        <v>11</v>
      </c>
      <c r="B17" s="3" t="s">
        <v>12</v>
      </c>
      <c r="C17" s="3" t="s">
        <v>31</v>
      </c>
      <c r="D17" s="3" t="s">
        <v>36</v>
      </c>
      <c r="E17" s="3" t="s">
        <v>26</v>
      </c>
      <c r="F17" s="3" t="s">
        <v>16</v>
      </c>
      <c r="G17" s="3" t="s">
        <v>17</v>
      </c>
      <c r="H17" s="3" t="s">
        <v>16</v>
      </c>
      <c r="I17" s="6">
        <v>415</v>
      </c>
      <c r="J17" s="6">
        <v>3778420</v>
      </c>
      <c r="K17" s="3" t="s">
        <v>18</v>
      </c>
    </row>
    <row r="18" spans="1:11" x14ac:dyDescent="0.15">
      <c r="A18" s="3" t="s">
        <v>11</v>
      </c>
      <c r="B18" s="3" t="s">
        <v>12</v>
      </c>
      <c r="C18" s="3" t="s">
        <v>31</v>
      </c>
      <c r="D18" s="3" t="s">
        <v>36</v>
      </c>
      <c r="E18" s="3" t="s">
        <v>27</v>
      </c>
      <c r="F18" s="3" t="s">
        <v>16</v>
      </c>
      <c r="G18" s="3" t="s">
        <v>17</v>
      </c>
      <c r="H18" s="3" t="s">
        <v>16</v>
      </c>
      <c r="I18" s="6">
        <v>539</v>
      </c>
      <c r="J18" s="6">
        <v>3882610.11</v>
      </c>
      <c r="K18" s="3" t="s">
        <v>18</v>
      </c>
    </row>
    <row r="19" spans="1:11" x14ac:dyDescent="0.15">
      <c r="A19" s="3" t="s">
        <v>11</v>
      </c>
      <c r="B19" s="3" t="s">
        <v>12</v>
      </c>
      <c r="C19" s="3" t="s">
        <v>31</v>
      </c>
      <c r="D19" s="3" t="s">
        <v>37</v>
      </c>
      <c r="E19" s="3" t="s">
        <v>24</v>
      </c>
      <c r="F19" s="3" t="s">
        <v>35</v>
      </c>
      <c r="G19" s="3" t="s">
        <v>17</v>
      </c>
      <c r="H19" s="3" t="s">
        <v>16</v>
      </c>
      <c r="I19" s="6">
        <v>23</v>
      </c>
      <c r="J19" s="6">
        <v>20563.59</v>
      </c>
      <c r="K19" s="3" t="s">
        <v>18</v>
      </c>
    </row>
    <row r="20" spans="1:11" x14ac:dyDescent="0.15">
      <c r="A20" s="3" t="s">
        <v>11</v>
      </c>
      <c r="B20" s="3" t="s">
        <v>12</v>
      </c>
      <c r="C20" s="3" t="s">
        <v>31</v>
      </c>
      <c r="D20" s="3" t="s">
        <v>38</v>
      </c>
      <c r="E20" s="3" t="s">
        <v>24</v>
      </c>
      <c r="F20" s="3" t="s">
        <v>35</v>
      </c>
      <c r="G20" s="3" t="s">
        <v>17</v>
      </c>
      <c r="H20" s="3" t="s">
        <v>16</v>
      </c>
      <c r="I20" s="6">
        <v>2</v>
      </c>
      <c r="J20" s="6">
        <v>150</v>
      </c>
      <c r="K20" s="3" t="s">
        <v>18</v>
      </c>
    </row>
    <row r="21" spans="1:11" x14ac:dyDescent="0.15">
      <c r="A21" s="3" t="s">
        <v>11</v>
      </c>
      <c r="B21" s="3" t="s">
        <v>12</v>
      </c>
      <c r="C21" s="3" t="s">
        <v>31</v>
      </c>
      <c r="D21" s="3" t="s">
        <v>39</v>
      </c>
      <c r="E21" s="3" t="s">
        <v>15</v>
      </c>
      <c r="F21" s="3" t="s">
        <v>35</v>
      </c>
      <c r="G21" s="3" t="s">
        <v>17</v>
      </c>
      <c r="H21" s="3" t="s">
        <v>16</v>
      </c>
      <c r="I21" s="6">
        <v>18531</v>
      </c>
      <c r="J21" s="6">
        <v>18177338.100000001</v>
      </c>
      <c r="K21" s="3" t="s">
        <v>18</v>
      </c>
    </row>
    <row r="22" spans="1:11" x14ac:dyDescent="0.15">
      <c r="A22" s="3" t="s">
        <v>11</v>
      </c>
      <c r="B22" s="3" t="s">
        <v>12</v>
      </c>
      <c r="C22" s="3" t="s">
        <v>31</v>
      </c>
      <c r="D22" s="3" t="s">
        <v>39</v>
      </c>
      <c r="E22" s="3" t="s">
        <v>22</v>
      </c>
      <c r="F22" s="3" t="s">
        <v>35</v>
      </c>
      <c r="G22" s="3" t="s">
        <v>17</v>
      </c>
      <c r="H22" s="3" t="s">
        <v>16</v>
      </c>
      <c r="I22" s="6">
        <v>373</v>
      </c>
      <c r="J22" s="6">
        <v>3217100</v>
      </c>
      <c r="K22" s="3" t="s">
        <v>18</v>
      </c>
    </row>
    <row r="23" spans="1:11" x14ac:dyDescent="0.15">
      <c r="A23" s="3" t="s">
        <v>11</v>
      </c>
      <c r="B23" s="3" t="s">
        <v>12</v>
      </c>
      <c r="C23" s="3" t="s">
        <v>31</v>
      </c>
      <c r="D23" s="3" t="s">
        <v>39</v>
      </c>
      <c r="E23" s="3" t="s">
        <v>23</v>
      </c>
      <c r="F23" s="3" t="s">
        <v>35</v>
      </c>
      <c r="G23" s="3" t="s">
        <v>17</v>
      </c>
      <c r="H23" s="3" t="s">
        <v>16</v>
      </c>
      <c r="I23" s="6">
        <v>23</v>
      </c>
      <c r="J23" s="6">
        <v>101685.93</v>
      </c>
      <c r="K23" s="3" t="s">
        <v>18</v>
      </c>
    </row>
    <row r="24" spans="1:11" x14ac:dyDescent="0.15">
      <c r="A24" s="3" t="s">
        <v>11</v>
      </c>
      <c r="B24" s="3" t="s">
        <v>12</v>
      </c>
      <c r="C24" s="3" t="s">
        <v>31</v>
      </c>
      <c r="D24" s="3" t="s">
        <v>39</v>
      </c>
      <c r="E24" s="3" t="s">
        <v>24</v>
      </c>
      <c r="F24" s="3" t="s">
        <v>35</v>
      </c>
      <c r="G24" s="3" t="s">
        <v>17</v>
      </c>
      <c r="H24" s="3" t="s">
        <v>16</v>
      </c>
      <c r="I24" s="6">
        <v>40</v>
      </c>
      <c r="J24" s="6">
        <v>157207.4</v>
      </c>
      <c r="K24" s="3" t="s">
        <v>18</v>
      </c>
    </row>
    <row r="25" spans="1:11" x14ac:dyDescent="0.15">
      <c r="A25" s="3" t="s">
        <v>11</v>
      </c>
      <c r="B25" s="3" t="s">
        <v>40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17</v>
      </c>
      <c r="I25" s="6">
        <v>132</v>
      </c>
      <c r="J25" s="6">
        <v>94212.22</v>
      </c>
      <c r="K25" s="3" t="s">
        <v>18</v>
      </c>
    </row>
    <row r="26" spans="1:11" x14ac:dyDescent="0.15">
      <c r="A26" s="3" t="s">
        <v>11</v>
      </c>
      <c r="B26" s="3" t="s">
        <v>40</v>
      </c>
      <c r="C26" s="3" t="s">
        <v>13</v>
      </c>
      <c r="D26" s="3" t="s">
        <v>19</v>
      </c>
      <c r="E26" s="3" t="s">
        <v>15</v>
      </c>
      <c r="F26" s="3" t="s">
        <v>16</v>
      </c>
      <c r="G26" s="3" t="s">
        <v>17</v>
      </c>
      <c r="H26" s="3" t="s">
        <v>17</v>
      </c>
      <c r="I26" s="6">
        <v>10</v>
      </c>
      <c r="J26" s="6">
        <v>91905</v>
      </c>
      <c r="K26" s="3" t="s">
        <v>18</v>
      </c>
    </row>
    <row r="27" spans="1:11" x14ac:dyDescent="0.15">
      <c r="A27" s="3" t="s">
        <v>11</v>
      </c>
      <c r="B27" s="3" t="s">
        <v>40</v>
      </c>
      <c r="C27" s="3" t="s">
        <v>13</v>
      </c>
      <c r="D27" s="3" t="s">
        <v>21</v>
      </c>
      <c r="E27" s="3" t="s">
        <v>15</v>
      </c>
      <c r="F27" s="3" t="s">
        <v>16</v>
      </c>
      <c r="G27" s="3" t="s">
        <v>17</v>
      </c>
      <c r="H27" s="3" t="s">
        <v>16</v>
      </c>
      <c r="I27" s="6">
        <v>11972</v>
      </c>
      <c r="J27" s="6">
        <v>20389647.960000001</v>
      </c>
      <c r="K27" s="3" t="s">
        <v>18</v>
      </c>
    </row>
    <row r="28" spans="1:11" x14ac:dyDescent="0.15">
      <c r="A28" s="3" t="s">
        <v>11</v>
      </c>
      <c r="B28" s="3" t="s">
        <v>40</v>
      </c>
      <c r="C28" s="3" t="s">
        <v>13</v>
      </c>
      <c r="D28" s="3" t="s">
        <v>21</v>
      </c>
      <c r="E28" s="3" t="s">
        <v>22</v>
      </c>
      <c r="F28" s="3" t="s">
        <v>16</v>
      </c>
      <c r="G28" s="3" t="s">
        <v>17</v>
      </c>
      <c r="H28" s="3" t="s">
        <v>16</v>
      </c>
      <c r="I28" s="6">
        <v>1</v>
      </c>
      <c r="J28" s="6">
        <v>28200</v>
      </c>
      <c r="K28" s="3" t="s">
        <v>18</v>
      </c>
    </row>
    <row r="29" spans="1:11" x14ac:dyDescent="0.15">
      <c r="A29" s="3" t="s">
        <v>11</v>
      </c>
      <c r="B29" s="3" t="s">
        <v>40</v>
      </c>
      <c r="C29" s="3" t="s">
        <v>13</v>
      </c>
      <c r="D29" s="3" t="s">
        <v>21</v>
      </c>
      <c r="E29" s="3" t="s">
        <v>41</v>
      </c>
      <c r="F29" s="3" t="s">
        <v>16</v>
      </c>
      <c r="G29" s="3" t="s">
        <v>17</v>
      </c>
      <c r="H29" s="3" t="s">
        <v>16</v>
      </c>
      <c r="I29" s="6">
        <v>37</v>
      </c>
      <c r="J29" s="6">
        <v>77124.3</v>
      </c>
      <c r="K29" s="3" t="s">
        <v>18</v>
      </c>
    </row>
    <row r="30" spans="1:11" x14ac:dyDescent="0.15">
      <c r="A30" s="3" t="s">
        <v>11</v>
      </c>
      <c r="B30" s="3" t="s">
        <v>40</v>
      </c>
      <c r="C30" s="3" t="s">
        <v>13</v>
      </c>
      <c r="D30" s="3" t="s">
        <v>21</v>
      </c>
      <c r="E30" s="3" t="s">
        <v>24</v>
      </c>
      <c r="F30" s="3" t="s">
        <v>16</v>
      </c>
      <c r="G30" s="3" t="s">
        <v>17</v>
      </c>
      <c r="H30" s="3" t="s">
        <v>16</v>
      </c>
      <c r="I30" s="6">
        <v>44</v>
      </c>
      <c r="J30" s="6">
        <v>1114500.58</v>
      </c>
      <c r="K30" s="3" t="s">
        <v>18</v>
      </c>
    </row>
    <row r="31" spans="1:11" x14ac:dyDescent="0.15">
      <c r="A31" s="3" t="s">
        <v>11</v>
      </c>
      <c r="B31" s="3" t="s">
        <v>40</v>
      </c>
      <c r="C31" s="3" t="s">
        <v>13</v>
      </c>
      <c r="D31" s="3" t="s">
        <v>25</v>
      </c>
      <c r="E31" s="3" t="s">
        <v>27</v>
      </c>
      <c r="F31" s="3" t="s">
        <v>16</v>
      </c>
      <c r="G31" s="3" t="s">
        <v>17</v>
      </c>
      <c r="H31" s="3" t="s">
        <v>16</v>
      </c>
      <c r="I31" s="6">
        <v>189</v>
      </c>
      <c r="J31" s="6">
        <v>893123.64</v>
      </c>
      <c r="K31" s="3" t="s">
        <v>18</v>
      </c>
    </row>
    <row r="32" spans="1:11" x14ac:dyDescent="0.15">
      <c r="A32" s="3" t="s">
        <v>11</v>
      </c>
      <c r="B32" s="3" t="s">
        <v>40</v>
      </c>
      <c r="C32" s="3" t="s">
        <v>13</v>
      </c>
      <c r="D32" s="3" t="s">
        <v>28</v>
      </c>
      <c r="E32" s="3" t="s">
        <v>24</v>
      </c>
      <c r="F32" s="3" t="s">
        <v>16</v>
      </c>
      <c r="G32" s="3" t="s">
        <v>17</v>
      </c>
      <c r="H32" s="3" t="s">
        <v>17</v>
      </c>
      <c r="I32" s="6">
        <v>24</v>
      </c>
      <c r="J32" s="6">
        <v>164721.57</v>
      </c>
      <c r="K32" s="3" t="s">
        <v>18</v>
      </c>
    </row>
    <row r="33" spans="1:11" x14ac:dyDescent="0.15">
      <c r="A33" s="3" t="s">
        <v>11</v>
      </c>
      <c r="B33" s="3" t="s">
        <v>40</v>
      </c>
      <c r="C33" s="3" t="s">
        <v>13</v>
      </c>
      <c r="D33" s="3" t="s">
        <v>29</v>
      </c>
      <c r="E33" s="3" t="s">
        <v>24</v>
      </c>
      <c r="F33" s="3" t="s">
        <v>16</v>
      </c>
      <c r="G33" s="3" t="s">
        <v>17</v>
      </c>
      <c r="H33" s="3" t="s">
        <v>17</v>
      </c>
      <c r="I33" s="6">
        <v>11</v>
      </c>
      <c r="J33" s="6">
        <v>129082.44</v>
      </c>
      <c r="K33" s="3" t="s">
        <v>18</v>
      </c>
    </row>
    <row r="34" spans="1:11" x14ac:dyDescent="0.15">
      <c r="A34" s="3" t="s">
        <v>11</v>
      </c>
      <c r="B34" s="3" t="s">
        <v>40</v>
      </c>
      <c r="C34" s="3" t="s">
        <v>31</v>
      </c>
      <c r="D34" s="3" t="s">
        <v>36</v>
      </c>
      <c r="E34" s="3" t="s">
        <v>27</v>
      </c>
      <c r="F34" s="3" t="s">
        <v>16</v>
      </c>
      <c r="G34" s="3" t="s">
        <v>17</v>
      </c>
      <c r="H34" s="3" t="s">
        <v>16</v>
      </c>
      <c r="I34" s="6">
        <v>92</v>
      </c>
      <c r="J34" s="6">
        <v>868990.7</v>
      </c>
      <c r="K34" s="3" t="s">
        <v>18</v>
      </c>
    </row>
    <row r="35" spans="1:11" x14ac:dyDescent="0.15">
      <c r="A35" s="3" t="s">
        <v>11</v>
      </c>
      <c r="B35" s="3" t="s">
        <v>40</v>
      </c>
      <c r="C35" s="3" t="s">
        <v>31</v>
      </c>
      <c r="D35" s="3" t="s">
        <v>37</v>
      </c>
      <c r="E35" s="3" t="s">
        <v>24</v>
      </c>
      <c r="F35" s="3" t="s">
        <v>35</v>
      </c>
      <c r="G35" s="3" t="s">
        <v>17</v>
      </c>
      <c r="H35" s="3" t="s">
        <v>16</v>
      </c>
      <c r="I35" s="6">
        <v>4</v>
      </c>
      <c r="J35" s="6">
        <v>2803.98</v>
      </c>
      <c r="K35" s="3" t="s">
        <v>18</v>
      </c>
    </row>
    <row r="36" spans="1:11" x14ac:dyDescent="0.15">
      <c r="A36" s="3" t="s">
        <v>11</v>
      </c>
      <c r="B36" s="3" t="s">
        <v>40</v>
      </c>
      <c r="C36" s="3" t="s">
        <v>31</v>
      </c>
      <c r="D36" s="3" t="s">
        <v>38</v>
      </c>
      <c r="E36" s="3" t="s">
        <v>24</v>
      </c>
      <c r="F36" s="3" t="s">
        <v>35</v>
      </c>
      <c r="G36" s="3" t="s">
        <v>17</v>
      </c>
      <c r="H36" s="3" t="s">
        <v>16</v>
      </c>
      <c r="I36" s="6">
        <v>3</v>
      </c>
      <c r="J36" s="6">
        <v>5572.9</v>
      </c>
      <c r="K36" s="3" t="s">
        <v>18</v>
      </c>
    </row>
    <row r="37" spans="1:11" x14ac:dyDescent="0.15">
      <c r="A37" s="3" t="s">
        <v>11</v>
      </c>
      <c r="B37" s="3" t="s">
        <v>40</v>
      </c>
      <c r="C37" s="3" t="s">
        <v>31</v>
      </c>
      <c r="D37" s="3" t="s">
        <v>42</v>
      </c>
      <c r="E37" s="3" t="s">
        <v>24</v>
      </c>
      <c r="F37" s="3" t="s">
        <v>35</v>
      </c>
      <c r="G37" s="3" t="s">
        <v>17</v>
      </c>
      <c r="H37" s="3" t="s">
        <v>16</v>
      </c>
      <c r="I37" s="6">
        <v>1</v>
      </c>
      <c r="J37" s="6">
        <v>7931.52</v>
      </c>
      <c r="K37" s="3" t="s">
        <v>18</v>
      </c>
    </row>
    <row r="38" spans="1:11" x14ac:dyDescent="0.15">
      <c r="A38" s="3" t="s">
        <v>11</v>
      </c>
      <c r="B38" s="3" t="s">
        <v>40</v>
      </c>
      <c r="C38" s="3" t="s">
        <v>31</v>
      </c>
      <c r="D38" s="3" t="s">
        <v>39</v>
      </c>
      <c r="E38" s="3" t="s">
        <v>15</v>
      </c>
      <c r="F38" s="3" t="s">
        <v>35</v>
      </c>
      <c r="G38" s="3" t="s">
        <v>17</v>
      </c>
      <c r="H38" s="3" t="s">
        <v>16</v>
      </c>
      <c r="I38" s="6">
        <v>6729</v>
      </c>
      <c r="J38" s="6">
        <v>7181399.1699999999</v>
      </c>
      <c r="K38" s="3" t="s">
        <v>18</v>
      </c>
    </row>
    <row r="39" spans="1:11" x14ac:dyDescent="0.15">
      <c r="A39" s="3" t="s">
        <v>11</v>
      </c>
      <c r="B39" s="3" t="s">
        <v>40</v>
      </c>
      <c r="C39" s="3" t="s">
        <v>31</v>
      </c>
      <c r="D39" s="3" t="s">
        <v>39</v>
      </c>
      <c r="E39" s="3" t="s">
        <v>22</v>
      </c>
      <c r="F39" s="3" t="s">
        <v>35</v>
      </c>
      <c r="G39" s="3" t="s">
        <v>17</v>
      </c>
      <c r="H39" s="3" t="s">
        <v>16</v>
      </c>
      <c r="I39" s="6">
        <v>47</v>
      </c>
      <c r="J39" s="6">
        <v>729300</v>
      </c>
      <c r="K39" s="3" t="s">
        <v>18</v>
      </c>
    </row>
    <row r="40" spans="1:11" x14ac:dyDescent="0.15">
      <c r="A40" s="3" t="s">
        <v>11</v>
      </c>
      <c r="B40" s="3" t="s">
        <v>40</v>
      </c>
      <c r="C40" s="3" t="s">
        <v>31</v>
      </c>
      <c r="D40" s="3" t="s">
        <v>39</v>
      </c>
      <c r="E40" s="3" t="s">
        <v>41</v>
      </c>
      <c r="F40" s="3" t="s">
        <v>35</v>
      </c>
      <c r="G40" s="3" t="s">
        <v>17</v>
      </c>
      <c r="H40" s="3" t="s">
        <v>16</v>
      </c>
      <c r="I40" s="6">
        <v>65</v>
      </c>
      <c r="J40" s="6">
        <v>184809.25</v>
      </c>
      <c r="K40" s="3" t="s">
        <v>18</v>
      </c>
    </row>
    <row r="41" spans="1:11" x14ac:dyDescent="0.15">
      <c r="A41" s="3" t="s">
        <v>11</v>
      </c>
      <c r="B41" s="3" t="s">
        <v>40</v>
      </c>
      <c r="C41" s="3" t="s">
        <v>31</v>
      </c>
      <c r="D41" s="3" t="s">
        <v>39</v>
      </c>
      <c r="E41" s="3" t="s">
        <v>24</v>
      </c>
      <c r="F41" s="3" t="s">
        <v>35</v>
      </c>
      <c r="G41" s="3" t="s">
        <v>17</v>
      </c>
      <c r="H41" s="3" t="s">
        <v>16</v>
      </c>
      <c r="I41" s="6">
        <v>10</v>
      </c>
      <c r="J41" s="6">
        <v>31173.11</v>
      </c>
      <c r="K41" s="3" t="s">
        <v>18</v>
      </c>
    </row>
    <row r="42" spans="1:11" x14ac:dyDescent="0.15">
      <c r="A42" s="3" t="s">
        <v>11</v>
      </c>
      <c r="B42" s="3" t="s">
        <v>43</v>
      </c>
      <c r="C42" s="3" t="s">
        <v>13</v>
      </c>
      <c r="D42" s="3" t="s">
        <v>44</v>
      </c>
      <c r="E42" s="3" t="s">
        <v>45</v>
      </c>
      <c r="F42" s="3" t="s">
        <v>16</v>
      </c>
      <c r="G42" s="3" t="s">
        <v>17</v>
      </c>
      <c r="H42" s="3" t="s">
        <v>16</v>
      </c>
      <c r="I42" s="6">
        <v>53</v>
      </c>
      <c r="J42" s="6">
        <v>44446.34</v>
      </c>
      <c r="K42" s="3" t="s">
        <v>18</v>
      </c>
    </row>
    <row r="43" spans="1:11" x14ac:dyDescent="0.15">
      <c r="A43" s="3" t="s">
        <v>11</v>
      </c>
      <c r="B43" s="3" t="s">
        <v>43</v>
      </c>
      <c r="C43" s="3" t="s">
        <v>13</v>
      </c>
      <c r="D43" s="3" t="s">
        <v>44</v>
      </c>
      <c r="E43" s="3" t="s">
        <v>46</v>
      </c>
      <c r="F43" s="3" t="s">
        <v>16</v>
      </c>
      <c r="G43" s="3" t="s">
        <v>17</v>
      </c>
      <c r="H43" s="3" t="s">
        <v>16</v>
      </c>
      <c r="I43" s="6">
        <v>1</v>
      </c>
      <c r="J43" s="6">
        <v>1</v>
      </c>
      <c r="K43" s="3" t="s">
        <v>18</v>
      </c>
    </row>
    <row r="44" spans="1:11" x14ac:dyDescent="0.15">
      <c r="A44" s="3" t="s">
        <v>11</v>
      </c>
      <c r="B44" s="3" t="s">
        <v>43</v>
      </c>
      <c r="C44" s="3" t="s">
        <v>13</v>
      </c>
      <c r="D44" s="3" t="s">
        <v>47</v>
      </c>
      <c r="E44" s="3" t="s">
        <v>48</v>
      </c>
      <c r="F44" s="3" t="s">
        <v>16</v>
      </c>
      <c r="G44" s="3" t="s">
        <v>17</v>
      </c>
      <c r="H44" s="3" t="s">
        <v>16</v>
      </c>
      <c r="I44" s="6">
        <v>6</v>
      </c>
      <c r="J44" s="6">
        <v>19650</v>
      </c>
      <c r="K44" s="3" t="s">
        <v>18</v>
      </c>
    </row>
    <row r="45" spans="1:11" x14ac:dyDescent="0.15">
      <c r="A45" s="3" t="s">
        <v>11</v>
      </c>
      <c r="B45" s="3" t="s">
        <v>43</v>
      </c>
      <c r="C45" s="3" t="s">
        <v>31</v>
      </c>
      <c r="D45" s="3" t="s">
        <v>49</v>
      </c>
      <c r="E45" s="3" t="s">
        <v>45</v>
      </c>
      <c r="F45" s="3" t="s">
        <v>35</v>
      </c>
      <c r="G45" s="3" t="s">
        <v>17</v>
      </c>
      <c r="H45" s="3" t="s">
        <v>16</v>
      </c>
      <c r="I45" s="6">
        <v>61</v>
      </c>
      <c r="J45" s="6">
        <v>77192.08</v>
      </c>
      <c r="K45" s="3" t="s">
        <v>18</v>
      </c>
    </row>
    <row r="46" spans="1:11" x14ac:dyDescent="0.15">
      <c r="A46" s="3" t="s">
        <v>11</v>
      </c>
      <c r="B46" s="3" t="s">
        <v>43</v>
      </c>
      <c r="C46" s="3" t="s">
        <v>31</v>
      </c>
      <c r="D46" s="3" t="s">
        <v>49</v>
      </c>
      <c r="E46" s="3" t="s">
        <v>50</v>
      </c>
      <c r="F46" s="3" t="s">
        <v>35</v>
      </c>
      <c r="G46" s="3" t="s">
        <v>17</v>
      </c>
      <c r="H46" s="3" t="s">
        <v>16</v>
      </c>
      <c r="I46" s="6">
        <v>3</v>
      </c>
      <c r="J46" s="6">
        <v>55700</v>
      </c>
      <c r="K46" s="3" t="s">
        <v>18</v>
      </c>
    </row>
    <row r="47" spans="1:11" x14ac:dyDescent="0.15">
      <c r="I47" s="7">
        <f>SUBTOTAL(9,I2:I46)</f>
        <v>62535</v>
      </c>
      <c r="J47" s="8">
        <f>SUBTOTAL(9,J2:J46)</f>
        <v>99877388.440000042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2026-02-02T09:54:17Z</dcterms:created>
  <dcterms:modified xsi:type="dcterms:W3CDTF">2026-02-03T07:39:40Z</dcterms:modified>
</cp:coreProperties>
</file>