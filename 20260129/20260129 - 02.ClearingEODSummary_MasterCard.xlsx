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Card Operations Department\Card risk management division\Clearing&amp;Settlement\ARHIV\Processing Reports\A.I. Ozan\2026\January\20260129\"/>
    </mc:Choice>
  </mc:AlternateContent>
  <bookViews>
    <workbookView xWindow="0" yWindow="0" windowWidth="20490" windowHeight="8985"/>
  </bookViews>
  <sheets>
    <sheet name="Sheet1" sheetId="1" r:id="rId1"/>
  </sheets>
  <definedNames>
    <definedName name="_xlnm._FilterDatabase" localSheetId="0" hidden="1">Sheet1!$A$1:$BP$17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7" i="1" l="1"/>
</calcChain>
</file>

<file path=xl/sharedStrings.xml><?xml version="1.0" encoding="utf-8"?>
<sst xmlns="http://schemas.openxmlformats.org/spreadsheetml/2006/main" count="211" uniqueCount="34">
  <si>
    <t>Payment System</t>
  </si>
  <si>
    <t>Incoming Date</t>
  </si>
  <si>
    <t>Clearing EOD Running Date</t>
  </si>
  <si>
    <t>MTID</t>
  </si>
  <si>
    <t>Function Code</t>
  </si>
  <si>
    <t>Processing Code</t>
  </si>
  <si>
    <t>Reversal Flag</t>
  </si>
  <si>
    <t>Credit/Debit Amount Flag</t>
  </si>
  <si>
    <t>Settlement Currency</t>
  </si>
  <si>
    <t>Total Settlement Amount</t>
  </si>
  <si>
    <t>Cardholder Account Currency</t>
  </si>
  <si>
    <t>Cardholder Billing Total Amount</t>
  </si>
  <si>
    <t>YI / YD Flag</t>
  </si>
  <si>
    <t>Count</t>
  </si>
  <si>
    <t>EOD Date</t>
  </si>
  <si>
    <t>EOD Stat</t>
  </si>
  <si>
    <t>MIR</t>
  </si>
  <si>
    <t>1/29/2026</t>
  </si>
  <si>
    <t>1/30/2026</t>
  </si>
  <si>
    <t>1240</t>
  </si>
  <si>
    <t>200</t>
  </si>
  <si>
    <t>00</t>
  </si>
  <si>
    <t>N</t>
  </si>
  <si>
    <t>D</t>
  </si>
  <si>
    <t>643</t>
  </si>
  <si>
    <t>YI</t>
  </si>
  <si>
    <t>T</t>
  </si>
  <si>
    <t>09</t>
  </si>
  <si>
    <t>Y</t>
  </si>
  <si>
    <t>C</t>
  </si>
  <si>
    <t>01</t>
  </si>
  <si>
    <t>20</t>
  </si>
  <si>
    <t>NSPK-MC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</si>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</sst>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8"/>
      <color theme="1"/>
      <name val="Tahoma"/>
      <family val="2"/>
      <charset val="204"/>
    </font>
    <font>
      <sz val="8"/>
      <color theme="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0" fontId="2" fillId="0" borderId="0" xfId="0" applyFont="1"/>
    <xf numFmtId="2" fontId="1" fillId="0" borderId="0" xfId="0" applyNumberFormat="1" applyFont="1"/>
    <xf numFmtId="2" fontId="2" fillId="0" borderId="0" xfId="0" applyNumberFormat="1" applyFont="1"/>
    <xf numFmtId="3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7"/>
  <sheetViews>
    <sheetView tabSelected="1" workbookViewId="0">
      <selection activeCell="I1" sqref="A1:XFD1048576"/>
    </sheetView>
  </sheetViews>
  <sheetFormatPr defaultRowHeight="10.5" x14ac:dyDescent="0.15"/>
  <cols>
    <col min="1" max="1" width="15" style="3" bestFit="1" customWidth="1"/>
    <col min="2" max="2" width="12.85546875" style="3" bestFit="1" customWidth="1"/>
    <col min="3" max="3" width="26" style="3" bestFit="1" customWidth="1"/>
    <col min="4" max="4" width="5.28515625" style="3" bestFit="1" customWidth="1"/>
    <col min="5" max="5" width="12.28515625" style="3" bestFit="1" customWidth="1"/>
    <col min="6" max="6" width="14.28515625" style="3" bestFit="1" customWidth="1"/>
    <col min="7" max="7" width="11.85546875" style="3" bestFit="1" customWidth="1"/>
    <col min="8" max="8" width="22" style="3" bestFit="1" customWidth="1"/>
    <col min="9" max="9" width="18.140625" style="3" bestFit="1" customWidth="1"/>
    <col min="10" max="10" width="22" style="3" bestFit="1" customWidth="1"/>
    <col min="11" max="11" width="25" style="3" bestFit="1" customWidth="1"/>
    <col min="12" max="12" width="27" style="3" bestFit="1" customWidth="1"/>
    <col min="13" max="13" width="10.28515625" style="3" bestFit="1" customWidth="1"/>
    <col min="14" max="14" width="7.5703125" style="6" bestFit="1" customWidth="1"/>
    <col min="15" max="15" width="8.42578125" style="3" bestFit="1" customWidth="1"/>
    <col min="16" max="16" width="8" style="3" bestFit="1" customWidth="1"/>
    <col min="17" max="68" width="9.140625" style="3"/>
    <col min="69" max="16384" width="9.140625" style="4"/>
  </cols>
  <sheetData>
    <row r="1" spans="1:68" s="2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68" x14ac:dyDescent="0.15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>
        <v>5022821.63</v>
      </c>
      <c r="K2" s="3" t="s">
        <v>24</v>
      </c>
      <c r="L2" s="3">
        <v>5019694.7</v>
      </c>
      <c r="M2" s="3" t="s">
        <v>25</v>
      </c>
      <c r="N2" s="6">
        <v>289</v>
      </c>
      <c r="O2" s="3" t="s">
        <v>18</v>
      </c>
      <c r="P2" s="3" t="s">
        <v>26</v>
      </c>
    </row>
    <row r="3" spans="1:68" x14ac:dyDescent="0.1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>
        <v>97938.34</v>
      </c>
      <c r="K3" s="3" t="s">
        <v>24</v>
      </c>
      <c r="L3" s="3">
        <v>97938.34</v>
      </c>
      <c r="M3" s="3" t="s">
        <v>25</v>
      </c>
      <c r="N3" s="6">
        <v>2</v>
      </c>
      <c r="O3" s="3" t="s">
        <v>18</v>
      </c>
      <c r="P3" s="3" t="s">
        <v>26</v>
      </c>
    </row>
    <row r="4" spans="1:68" x14ac:dyDescent="0.15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27</v>
      </c>
      <c r="G4" s="3" t="s">
        <v>22</v>
      </c>
      <c r="H4" s="3" t="s">
        <v>23</v>
      </c>
      <c r="I4" s="3" t="s">
        <v>24</v>
      </c>
      <c r="J4" s="3">
        <v>86647.98</v>
      </c>
      <c r="K4" s="3" t="s">
        <v>24</v>
      </c>
      <c r="L4" s="3">
        <v>86647.98</v>
      </c>
      <c r="M4" s="3" t="s">
        <v>25</v>
      </c>
      <c r="N4" s="6">
        <v>17</v>
      </c>
      <c r="O4" s="3" t="s">
        <v>18</v>
      </c>
      <c r="P4" s="3" t="s">
        <v>26</v>
      </c>
    </row>
    <row r="5" spans="1:68" x14ac:dyDescent="0.1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>
        <v>619918.42000000004</v>
      </c>
      <c r="K5" s="3" t="s">
        <v>24</v>
      </c>
      <c r="L5" s="3">
        <v>618041.86</v>
      </c>
      <c r="M5" s="3" t="s">
        <v>25</v>
      </c>
      <c r="N5" s="6">
        <v>29</v>
      </c>
      <c r="O5" s="3" t="s">
        <v>18</v>
      </c>
      <c r="P5" s="3" t="s">
        <v>28</v>
      </c>
    </row>
    <row r="6" spans="1:68" x14ac:dyDescent="0.1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22</v>
      </c>
      <c r="H6" s="3" t="s">
        <v>23</v>
      </c>
      <c r="I6" s="3" t="s">
        <v>24</v>
      </c>
      <c r="J6" s="3">
        <v>25066496.370000001</v>
      </c>
      <c r="K6" s="3" t="s">
        <v>24</v>
      </c>
      <c r="L6" s="3">
        <v>24608640.57</v>
      </c>
      <c r="M6" s="3" t="s">
        <v>25</v>
      </c>
      <c r="N6" s="6">
        <v>21090</v>
      </c>
      <c r="O6" s="3" t="s">
        <v>18</v>
      </c>
      <c r="P6" s="3" t="s">
        <v>28</v>
      </c>
    </row>
    <row r="7" spans="1:68" x14ac:dyDescent="0.15">
      <c r="A7" s="3" t="s">
        <v>16</v>
      </c>
      <c r="B7" s="3" t="s">
        <v>17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28</v>
      </c>
      <c r="H7" s="3" t="s">
        <v>29</v>
      </c>
      <c r="I7" s="3" t="s">
        <v>24</v>
      </c>
      <c r="J7" s="3">
        <v>4.57</v>
      </c>
      <c r="K7" s="3" t="s">
        <v>24</v>
      </c>
      <c r="L7" s="3">
        <v>4.57</v>
      </c>
      <c r="M7" s="3" t="s">
        <v>25</v>
      </c>
      <c r="N7" s="6">
        <v>1</v>
      </c>
      <c r="O7" s="3" t="s">
        <v>18</v>
      </c>
      <c r="P7" s="3" t="s">
        <v>28</v>
      </c>
    </row>
    <row r="8" spans="1:68" x14ac:dyDescent="0.15">
      <c r="A8" s="3" t="s">
        <v>16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30</v>
      </c>
      <c r="G8" s="3" t="s">
        <v>22</v>
      </c>
      <c r="H8" s="3" t="s">
        <v>23</v>
      </c>
      <c r="I8" s="3" t="s">
        <v>24</v>
      </c>
      <c r="J8" s="3">
        <v>1125700</v>
      </c>
      <c r="K8" s="3" t="s">
        <v>24</v>
      </c>
      <c r="L8" s="3">
        <v>1125700</v>
      </c>
      <c r="M8" s="3" t="s">
        <v>25</v>
      </c>
      <c r="N8" s="6">
        <v>60</v>
      </c>
      <c r="O8" s="3" t="s">
        <v>18</v>
      </c>
      <c r="P8" s="3" t="s">
        <v>28</v>
      </c>
    </row>
    <row r="9" spans="1:68" x14ac:dyDescent="0.15">
      <c r="A9" s="3" t="s">
        <v>16</v>
      </c>
      <c r="B9" s="3" t="s">
        <v>17</v>
      </c>
      <c r="C9" s="3" t="s">
        <v>18</v>
      </c>
      <c r="D9" s="3" t="s">
        <v>19</v>
      </c>
      <c r="E9" s="3" t="s">
        <v>20</v>
      </c>
      <c r="F9" s="3" t="s">
        <v>27</v>
      </c>
      <c r="G9" s="3" t="s">
        <v>22</v>
      </c>
      <c r="H9" s="3" t="s">
        <v>23</v>
      </c>
      <c r="I9" s="3" t="s">
        <v>24</v>
      </c>
      <c r="J9" s="3">
        <v>35842.32</v>
      </c>
      <c r="K9" s="3" t="s">
        <v>24</v>
      </c>
      <c r="L9" s="3">
        <v>35842.32</v>
      </c>
      <c r="M9" s="3" t="s">
        <v>25</v>
      </c>
      <c r="N9" s="6">
        <v>8</v>
      </c>
      <c r="O9" s="3" t="s">
        <v>18</v>
      </c>
      <c r="P9" s="3" t="s">
        <v>28</v>
      </c>
    </row>
    <row r="10" spans="1:68" x14ac:dyDescent="0.1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 t="s">
        <v>31</v>
      </c>
      <c r="G10" s="3" t="s">
        <v>22</v>
      </c>
      <c r="H10" s="3" t="s">
        <v>29</v>
      </c>
      <c r="I10" s="3" t="s">
        <v>24</v>
      </c>
      <c r="J10" s="3">
        <v>1599321.77</v>
      </c>
      <c r="K10" s="3" t="s">
        <v>24</v>
      </c>
      <c r="L10" s="3">
        <v>1599321.77</v>
      </c>
      <c r="M10" s="3" t="s">
        <v>25</v>
      </c>
      <c r="N10" s="6">
        <v>186</v>
      </c>
      <c r="O10" s="3" t="s">
        <v>18</v>
      </c>
      <c r="P10" s="3" t="s">
        <v>28</v>
      </c>
    </row>
    <row r="11" spans="1:68" x14ac:dyDescent="0.15">
      <c r="A11" s="3" t="s">
        <v>32</v>
      </c>
      <c r="B11" s="3" t="s">
        <v>17</v>
      </c>
      <c r="C11" s="3" t="s">
        <v>18</v>
      </c>
      <c r="D11" s="3" t="s">
        <v>19</v>
      </c>
      <c r="E11" s="3" t="s">
        <v>20</v>
      </c>
      <c r="F11" s="3" t="s">
        <v>21</v>
      </c>
      <c r="G11" s="3" t="s">
        <v>22</v>
      </c>
      <c r="H11" s="3" t="s">
        <v>23</v>
      </c>
      <c r="I11" s="3" t="s">
        <v>24</v>
      </c>
      <c r="J11" s="3">
        <v>2917826.99</v>
      </c>
      <c r="K11" s="3" t="s">
        <v>24</v>
      </c>
      <c r="L11" s="3">
        <v>2913448.32</v>
      </c>
      <c r="M11" s="3" t="s">
        <v>25</v>
      </c>
      <c r="N11" s="6">
        <v>138</v>
      </c>
      <c r="O11" s="3" t="s">
        <v>18</v>
      </c>
      <c r="P11" s="3" t="s">
        <v>26</v>
      </c>
    </row>
    <row r="12" spans="1:68" x14ac:dyDescent="0.15">
      <c r="A12" s="3" t="s">
        <v>32</v>
      </c>
      <c r="B12" s="3" t="s">
        <v>17</v>
      </c>
      <c r="C12" s="3" t="s">
        <v>18</v>
      </c>
      <c r="D12" s="3" t="s">
        <v>19</v>
      </c>
      <c r="E12" s="3" t="s">
        <v>20</v>
      </c>
      <c r="F12" s="3" t="s">
        <v>21</v>
      </c>
      <c r="G12" s="3" t="s">
        <v>22</v>
      </c>
      <c r="H12" s="3" t="s">
        <v>23</v>
      </c>
      <c r="I12" s="3" t="s">
        <v>24</v>
      </c>
      <c r="J12" s="3">
        <v>18544837.890000001</v>
      </c>
      <c r="K12" s="3" t="s">
        <v>24</v>
      </c>
      <c r="L12" s="3">
        <v>18295400.539999999</v>
      </c>
      <c r="M12" s="3" t="s">
        <v>25</v>
      </c>
      <c r="N12" s="6">
        <v>11983</v>
      </c>
      <c r="O12" s="3" t="s">
        <v>18</v>
      </c>
      <c r="P12" s="3" t="s">
        <v>28</v>
      </c>
    </row>
    <row r="13" spans="1:68" x14ac:dyDescent="0.15">
      <c r="A13" s="3" t="s">
        <v>32</v>
      </c>
      <c r="B13" s="3" t="s">
        <v>17</v>
      </c>
      <c r="C13" s="3" t="s">
        <v>18</v>
      </c>
      <c r="D13" s="3" t="s">
        <v>19</v>
      </c>
      <c r="E13" s="3" t="s">
        <v>20</v>
      </c>
      <c r="F13" s="3" t="s">
        <v>21</v>
      </c>
      <c r="G13" s="3" t="s">
        <v>28</v>
      </c>
      <c r="H13" s="3" t="s">
        <v>29</v>
      </c>
      <c r="I13" s="3" t="s">
        <v>24</v>
      </c>
      <c r="J13" s="3">
        <v>404856.6</v>
      </c>
      <c r="K13" s="3" t="s">
        <v>24</v>
      </c>
      <c r="L13" s="3">
        <v>404856.6</v>
      </c>
      <c r="M13" s="3" t="s">
        <v>25</v>
      </c>
      <c r="N13" s="6">
        <v>69</v>
      </c>
      <c r="O13" s="3" t="s">
        <v>18</v>
      </c>
      <c r="P13" s="3" t="s">
        <v>28</v>
      </c>
    </row>
    <row r="14" spans="1:68" x14ac:dyDescent="0.15">
      <c r="A14" s="3" t="s">
        <v>32</v>
      </c>
      <c r="B14" s="3" t="s">
        <v>17</v>
      </c>
      <c r="C14" s="3" t="s">
        <v>18</v>
      </c>
      <c r="D14" s="3" t="s">
        <v>19</v>
      </c>
      <c r="E14" s="3" t="s">
        <v>20</v>
      </c>
      <c r="F14" s="3" t="s">
        <v>30</v>
      </c>
      <c r="G14" s="3" t="s">
        <v>22</v>
      </c>
      <c r="H14" s="3" t="s">
        <v>23</v>
      </c>
      <c r="I14" s="3" t="s">
        <v>24</v>
      </c>
      <c r="J14" s="3">
        <v>98000</v>
      </c>
      <c r="K14" s="3" t="s">
        <v>24</v>
      </c>
      <c r="L14" s="3">
        <v>98000</v>
      </c>
      <c r="M14" s="3" t="s">
        <v>25</v>
      </c>
      <c r="N14" s="6">
        <v>13</v>
      </c>
      <c r="O14" s="3" t="s">
        <v>18</v>
      </c>
      <c r="P14" s="3" t="s">
        <v>28</v>
      </c>
    </row>
    <row r="15" spans="1:68" x14ac:dyDescent="0.15">
      <c r="A15" s="3" t="s">
        <v>32</v>
      </c>
      <c r="B15" s="3" t="s">
        <v>17</v>
      </c>
      <c r="C15" s="3" t="s">
        <v>18</v>
      </c>
      <c r="D15" s="3" t="s">
        <v>19</v>
      </c>
      <c r="E15" s="3" t="s">
        <v>20</v>
      </c>
      <c r="F15" s="3" t="s">
        <v>33</v>
      </c>
      <c r="G15" s="3" t="s">
        <v>22</v>
      </c>
      <c r="H15" s="3" t="s">
        <v>23</v>
      </c>
      <c r="I15" s="3" t="s">
        <v>24</v>
      </c>
      <c r="J15" s="3">
        <v>164323</v>
      </c>
      <c r="K15" s="3" t="s">
        <v>24</v>
      </c>
      <c r="L15" s="3">
        <v>164323</v>
      </c>
      <c r="M15" s="3" t="s">
        <v>25</v>
      </c>
      <c r="N15" s="6">
        <v>39</v>
      </c>
      <c r="O15" s="3" t="s">
        <v>18</v>
      </c>
      <c r="P15" s="3" t="s">
        <v>28</v>
      </c>
    </row>
    <row r="16" spans="1:68" x14ac:dyDescent="0.15">
      <c r="A16" s="3" t="s">
        <v>32</v>
      </c>
      <c r="B16" s="3" t="s">
        <v>17</v>
      </c>
      <c r="C16" s="3" t="s">
        <v>18</v>
      </c>
      <c r="D16" s="3" t="s">
        <v>19</v>
      </c>
      <c r="E16" s="3" t="s">
        <v>20</v>
      </c>
      <c r="F16" s="3" t="s">
        <v>31</v>
      </c>
      <c r="G16" s="3" t="s">
        <v>22</v>
      </c>
      <c r="H16" s="3" t="s">
        <v>29</v>
      </c>
      <c r="I16" s="3" t="s">
        <v>24</v>
      </c>
      <c r="J16" s="3">
        <v>1130120.52</v>
      </c>
      <c r="K16" s="3" t="s">
        <v>24</v>
      </c>
      <c r="L16" s="3">
        <v>1130120.52</v>
      </c>
      <c r="M16" s="3" t="s">
        <v>25</v>
      </c>
      <c r="N16" s="6">
        <v>102</v>
      </c>
      <c r="O16" s="3" t="s">
        <v>18</v>
      </c>
      <c r="P16" s="3" t="s">
        <v>28</v>
      </c>
    </row>
    <row r="17" spans="14:14" x14ac:dyDescent="0.15">
      <c r="N17" s="7">
        <f>SUBTOTAL(9,N2:N16)</f>
        <v>34026</v>
      </c>
    </row>
  </sheetData>
  <autoFilter ref="A1:BP17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Соломина Марина Владимировна</dc:creator>
  <cp:lastModifiedBy>Ядыкин Алексей Петрович</cp:lastModifiedBy>
  <dcterms:created xsi:type="dcterms:W3CDTF">2026-01-31T05:25:08Z</dcterms:created>
  <dcterms:modified xsi:type="dcterms:W3CDTF">2026-02-03T07:21:19Z</dcterms:modified>
</cp:coreProperties>
</file>